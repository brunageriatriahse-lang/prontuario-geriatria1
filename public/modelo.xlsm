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una\Downloads\"/>
    </mc:Choice>
  </mc:AlternateContent>
  <xr:revisionPtr revIDLastSave="0" documentId="13_ncr:1_{964C44A1-7350-462F-ACBF-37CD9836F45A}" xr6:coauthVersionLast="47" xr6:coauthVersionMax="47" xr10:uidLastSave="{00000000-0000-0000-0000-000000000000}"/>
  <bookViews>
    <workbookView xWindow="-108" yWindow="-108" windowWidth="23256" windowHeight="12456" tabRatio="767" firstSheet="24" activeTab="33" xr2:uid="{00000000-000D-0000-FFFF-FFFF00000000}"/>
  </bookViews>
  <sheets>
    <sheet name="Cadastro" sheetId="1" r:id="rId1"/>
    <sheet name="IMPRESSÃO" sheetId="35" r:id="rId2"/>
    <sheet name="RETORNO" sheetId="2" r:id="rId3"/>
    <sheet name="INDICAÇÃO LOCAIS PARA EXAMES" sheetId="3" r:id="rId4"/>
    <sheet name="Receituário Simples" sheetId="4" r:id="rId5"/>
    <sheet name="Exame Simples Branco" sheetId="5" r:id="rId6"/>
    <sheet name="Exames Laboratoriais Modelo" sheetId="6" r:id="rId7"/>
    <sheet name="Receituário Especial" sheetId="7" r:id="rId8"/>
    <sheet name="Exame Especial" sheetId="8" r:id="rId9"/>
    <sheet name="Vacina" sheetId="9" r:id="rId10"/>
    <sheet name="MAPA PA" sheetId="31" r:id="rId11"/>
    <sheet name="MAPA HGT" sheetId="30" r:id="rId12"/>
    <sheet name="COLONO" sheetId="10" r:id="rId13"/>
    <sheet name="EDA" sheetId="11" r:id="rId14"/>
    <sheet name="DMO" sheetId="12" r:id="rId15"/>
    <sheet name="MMG" sheetId="13" r:id="rId16"/>
    <sheet name="USG MAMA" sheetId="14" r:id="rId17"/>
    <sheet name="CCO" sheetId="15" r:id="rId18"/>
    <sheet name="DNA HPV" sheetId="16" r:id="rId19"/>
    <sheet name="TC TÓRAX - 1°" sheetId="17" r:id="rId20"/>
    <sheet name="TC TÓRAX BAIXA DOSE" sheetId="18" r:id="rId21"/>
    <sheet name="USG ABD ANEURISMA" sheetId="19" r:id="rId22"/>
    <sheet name="MAPA 24H" sheetId="20" r:id="rId23"/>
    <sheet name="HOLTER 24H" sheetId="21" r:id="rId24"/>
    <sheet name="ECOTT" sheetId="22" r:id="rId25"/>
    <sheet name="CINTILO" sheetId="23" r:id="rId26"/>
    <sheet name="POLISSONO" sheetId="24" r:id="rId27"/>
    <sheet name="RNM CRÂNIO" sheetId="25" r:id="rId28"/>
    <sheet name="USG RINS" sheetId="26" r:id="rId29"/>
    <sheet name="ESPIRO" sheetId="27" r:id="rId30"/>
    <sheet name="ECG" sheetId="28" r:id="rId31"/>
    <sheet name="BNP" sheetId="29" r:id="rId32"/>
    <sheet name="USG ARTERIAL MMII" sheetId="33" r:id="rId33"/>
    <sheet name="USG VENOSO MMII" sheetId="34" r:id="rId34"/>
  </sheets>
  <definedNames>
    <definedName name="_xleta.IF" hidden="1" xlm="1">#NAME?</definedName>
    <definedName name="_xlnm.Print_Area" localSheetId="7">'Receituário Especial'!$A$1:$AW$46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5" roundtripDataChecksum="PiOT7YwpGnXNtz8ZABhWZCH74CCpms96kPvUJzFQsbY="/>
    </ext>
  </extLst>
</workbook>
</file>

<file path=xl/calcChain.xml><?xml version="1.0" encoding="utf-8"?>
<calcChain xmlns="http://schemas.openxmlformats.org/spreadsheetml/2006/main">
  <c r="E41" i="34" l="1"/>
  <c r="V7" i="34"/>
  <c r="M7" i="34"/>
  <c r="I7" i="34"/>
  <c r="D7" i="34"/>
  <c r="T6" i="34"/>
  <c r="D6" i="34"/>
  <c r="T5" i="34"/>
  <c r="D5" i="34"/>
  <c r="E41" i="33"/>
  <c r="V7" i="33"/>
  <c r="M7" i="33"/>
  <c r="I7" i="33"/>
  <c r="D7" i="33"/>
  <c r="T6" i="33"/>
  <c r="D6" i="33"/>
  <c r="T5" i="33"/>
  <c r="D5" i="33"/>
  <c r="Z17" i="7"/>
  <c r="AE15" i="7"/>
  <c r="AE14" i="7"/>
  <c r="AM11" i="7"/>
  <c r="AC11" i="7"/>
  <c r="AF10" i="7"/>
  <c r="AM9" i="7"/>
  <c r="AH9" i="7"/>
  <c r="AC9" i="7"/>
  <c r="AE6" i="7"/>
  <c r="E6" i="31"/>
  <c r="E6" i="30"/>
  <c r="E6" i="29"/>
  <c r="E6" i="28"/>
  <c r="E41" i="27"/>
  <c r="V7" i="27"/>
  <c r="M7" i="27"/>
  <c r="I7" i="27"/>
  <c r="D7" i="27"/>
  <c r="T6" i="27"/>
  <c r="D6" i="27"/>
  <c r="T5" i="27"/>
  <c r="D5" i="27"/>
  <c r="E41" i="26"/>
  <c r="V7" i="26"/>
  <c r="M7" i="26"/>
  <c r="I7" i="26"/>
  <c r="D7" i="26"/>
  <c r="T6" i="26"/>
  <c r="D6" i="26"/>
  <c r="T5" i="26"/>
  <c r="D5" i="26"/>
  <c r="E41" i="25"/>
  <c r="V7" i="25"/>
  <c r="M7" i="25"/>
  <c r="I7" i="25"/>
  <c r="D7" i="25"/>
  <c r="T6" i="25"/>
  <c r="D6" i="25"/>
  <c r="T5" i="25"/>
  <c r="D5" i="25"/>
  <c r="E41" i="24"/>
  <c r="V7" i="24"/>
  <c r="M7" i="24"/>
  <c r="I7" i="24"/>
  <c r="D7" i="24"/>
  <c r="T6" i="24"/>
  <c r="D6" i="24"/>
  <c r="T5" i="24"/>
  <c r="D5" i="24"/>
  <c r="E41" i="23"/>
  <c r="V7" i="23"/>
  <c r="M7" i="23"/>
  <c r="I7" i="23"/>
  <c r="D7" i="23"/>
  <c r="T6" i="23"/>
  <c r="D6" i="23"/>
  <c r="T5" i="23"/>
  <c r="D5" i="23"/>
  <c r="E41" i="22"/>
  <c r="V7" i="22"/>
  <c r="M7" i="22"/>
  <c r="I7" i="22"/>
  <c r="D7" i="22"/>
  <c r="T6" i="22"/>
  <c r="D6" i="22"/>
  <c r="T5" i="22"/>
  <c r="D5" i="22"/>
  <c r="E41" i="21"/>
  <c r="V7" i="21"/>
  <c r="M7" i="21"/>
  <c r="I7" i="21"/>
  <c r="D7" i="21"/>
  <c r="T6" i="21"/>
  <c r="D6" i="21"/>
  <c r="T5" i="21"/>
  <c r="D5" i="21"/>
  <c r="E41" i="20"/>
  <c r="V7" i="20"/>
  <c r="M7" i="20"/>
  <c r="I7" i="20"/>
  <c r="D7" i="20"/>
  <c r="T6" i="20"/>
  <c r="D6" i="20"/>
  <c r="T5" i="20"/>
  <c r="D5" i="20"/>
  <c r="E41" i="19"/>
  <c r="V7" i="19"/>
  <c r="M7" i="19"/>
  <c r="I7" i="19"/>
  <c r="D7" i="19"/>
  <c r="T6" i="19"/>
  <c r="D6" i="19"/>
  <c r="T5" i="19"/>
  <c r="D5" i="19"/>
  <c r="E41" i="18"/>
  <c r="V7" i="18"/>
  <c r="M7" i="18"/>
  <c r="I7" i="18"/>
  <c r="D7" i="18"/>
  <c r="T6" i="18"/>
  <c r="D6" i="18"/>
  <c r="T5" i="18"/>
  <c r="D5" i="18"/>
  <c r="E41" i="17"/>
  <c r="V7" i="17"/>
  <c r="M7" i="17"/>
  <c r="I7" i="17"/>
  <c r="D7" i="17"/>
  <c r="T6" i="17"/>
  <c r="D6" i="17"/>
  <c r="T5" i="17"/>
  <c r="D5" i="17"/>
  <c r="E41" i="16"/>
  <c r="V7" i="16"/>
  <c r="M7" i="16"/>
  <c r="I7" i="16"/>
  <c r="D7" i="16"/>
  <c r="T6" i="16"/>
  <c r="D6" i="16"/>
  <c r="T5" i="16"/>
  <c r="D5" i="16"/>
  <c r="E41" i="15"/>
  <c r="V7" i="15"/>
  <c r="M7" i="15"/>
  <c r="I7" i="15"/>
  <c r="D7" i="15"/>
  <c r="T6" i="15"/>
  <c r="D6" i="15"/>
  <c r="T5" i="15"/>
  <c r="D5" i="15"/>
  <c r="E41" i="14"/>
  <c r="V7" i="14"/>
  <c r="M7" i="14"/>
  <c r="I7" i="14"/>
  <c r="D7" i="14"/>
  <c r="T6" i="14"/>
  <c r="D6" i="14"/>
  <c r="T5" i="14"/>
  <c r="D5" i="14"/>
  <c r="E41" i="13"/>
  <c r="V7" i="13"/>
  <c r="M7" i="13"/>
  <c r="I7" i="13"/>
  <c r="D7" i="13"/>
  <c r="T6" i="13"/>
  <c r="D6" i="13"/>
  <c r="T5" i="13"/>
  <c r="D5" i="13"/>
  <c r="E41" i="12"/>
  <c r="V7" i="12"/>
  <c r="M7" i="12"/>
  <c r="I7" i="12"/>
  <c r="D7" i="12"/>
  <c r="T6" i="12"/>
  <c r="D6" i="12"/>
  <c r="T5" i="12"/>
  <c r="D5" i="12"/>
  <c r="E41" i="11"/>
  <c r="V7" i="11"/>
  <c r="M7" i="11"/>
  <c r="I7" i="11"/>
  <c r="D7" i="11"/>
  <c r="T6" i="11"/>
  <c r="D6" i="11"/>
  <c r="T5" i="11"/>
  <c r="D5" i="11"/>
  <c r="E41" i="10"/>
  <c r="V7" i="10"/>
  <c r="M7" i="10"/>
  <c r="I7" i="10"/>
  <c r="D7" i="10"/>
  <c r="T6" i="10"/>
  <c r="D6" i="10"/>
  <c r="T5" i="10"/>
  <c r="D5" i="10"/>
  <c r="E6" i="9"/>
  <c r="E41" i="8"/>
  <c r="V7" i="8"/>
  <c r="M7" i="8"/>
  <c r="I7" i="8"/>
  <c r="D7" i="8"/>
  <c r="T6" i="8"/>
  <c r="D6" i="8"/>
  <c r="T5" i="8"/>
  <c r="D5" i="8"/>
  <c r="F15" i="7"/>
  <c r="F14" i="7"/>
  <c r="N11" i="7"/>
  <c r="D11" i="7"/>
  <c r="G10" i="7"/>
  <c r="N9" i="7"/>
  <c r="I9" i="7"/>
  <c r="D9" i="7"/>
  <c r="F6" i="7"/>
  <c r="E6" i="6"/>
  <c r="E6" i="5"/>
  <c r="E6" i="4"/>
  <c r="E6" i="3"/>
  <c r="E6" i="2"/>
</calcChain>
</file>

<file path=xl/sharedStrings.xml><?xml version="1.0" encoding="utf-8"?>
<sst xmlns="http://schemas.openxmlformats.org/spreadsheetml/2006/main" count="802" uniqueCount="207">
  <si>
    <t>CADASTRO — PREENCHE OS CABEÇALHOS AUTOMATICAMENTE</t>
  </si>
  <si>
    <t>Edite os campos abaixo. As abas de documento (Receituário Simples, Receituário Especial, Exame Especial, Exame Simples) puxam estes dados automaticamente nos cabeçalhos.</t>
  </si>
  <si>
    <t>DADOS DO PACIENTE</t>
  </si>
  <si>
    <t>Paciente (nome completo):</t>
  </si>
  <si>
    <t>Registro / Prontuário:</t>
  </si>
  <si>
    <t>Mãe:</t>
  </si>
  <si>
    <t>Enfermaria (ENF.):</t>
  </si>
  <si>
    <t>Leito:</t>
  </si>
  <si>
    <t>Idade:</t>
  </si>
  <si>
    <t>Sexo:</t>
  </si>
  <si>
    <t>Setor solicitante:</t>
  </si>
  <si>
    <t>GERIATRIA</t>
  </si>
  <si>
    <t>Endereço do paciente:</t>
  </si>
  <si>
    <t>Data do documento:</t>
  </si>
  <si>
    <t>DADOS DO EMITENTE (MÉDICO)</t>
  </si>
  <si>
    <t>Nome completo do médico:</t>
  </si>
  <si>
    <t>CRM:</t>
  </si>
  <si>
    <t>UF do CRM:</t>
  </si>
  <si>
    <t>Nº (registro CRM):</t>
  </si>
  <si>
    <t>Endereço completo e telefone:</t>
  </si>
  <si>
    <t>Cidade:</t>
  </si>
  <si>
    <t>UF (cidade):</t>
  </si>
  <si>
    <t xml:space="preserve">
RECEITUÁRIO</t>
  </si>
  <si>
    <t>PACIENTE:</t>
  </si>
  <si>
    <t>DATA:</t>
  </si>
  <si>
    <t>Av. Conselheiro Rosa e Silva, 36 - Aflitos - Recife - PE</t>
  </si>
  <si>
    <t>CNPJ nº 11944899/0001-17   Telefone: 3183-4500</t>
  </si>
  <si>
    <t xml:space="preserve">
USO ORAL
1. DIPIRONA 1G ------------------------------------------------------- CONTÍNUO
TOMAR 1 COMPRIMIDO DE 6/6 HORAS SE DOR. 
</t>
  </si>
  <si>
    <t>SOLICITO</t>
  </si>
  <si>
    <t>HEMOGRAMA COMPLETO        
PCR                                
UREIA E CREATININA        
SÓDIO, POTÁSSIO, CLORO, MAGNÉSIO, FÓSFORO, CÁLCIO        
BICARBONATO                
PTH                
TGO, TGP
BILIRRUBINA TOTAL E FRAÇÕES        
TP
TTPA, FIBRINOGÊNIO        
FOSFATASE ALCALINA E GGT
AMILASE, LIPASE        
ÁCIDO ÚRICO
PROTEÍNA TOTAL E FRAÇÕES
GLICEMIA DE JEJUM
HEMOGLOBINA GLICADA
COLESTEROL TOTAL E FRAÇÕES
TRIGLICERÍDEOS        
TSH, T4 LIVRE
VITAMINA B12
ÁCIDO FÓLICO
VITAMINA D
CPK
RETICULÓCITOS        
FERRO        
FERRITINA
IST                        
TIBIC
DHL
ELETROFORESE DE PROTEÍNAS
ANTI-HIV        
ANTI-HBS
HBSAG        
ANTI HBC IGG E IGM
ANTI HCV
VDRL        
PSA LIVRE E TOTAL        
SUMÁRIO DE URINA        
RELAÇÃO ALBUMINA CREATININA - URINA ISOLADA        
UROCULTURA</t>
  </si>
  <si>
    <t>RECEITUÁRIO DE CONTROLE ESPECIAL</t>
  </si>
  <si>
    <t>IDENTIFICAÇÃO DO EMITENTE</t>
  </si>
  <si>
    <t>1ª VIA - Farmácia
2ª VIA - Paciente</t>
  </si>
  <si>
    <t>Nome Completo:</t>
  </si>
  <si>
    <t>UF:</t>
  </si>
  <si>
    <t>Nº:</t>
  </si>
  <si>
    <t>Endereço Completo e Telefone:</t>
  </si>
  <si>
    <t>Paciente:</t>
  </si>
  <si>
    <t>Endereço:</t>
  </si>
  <si>
    <t>Prescrição:</t>
  </si>
  <si>
    <t>IDENTIFICAÇÃO DO COMPRADOR</t>
  </si>
  <si>
    <t>IDENTIFICAÇÃO DO FORNECEDOR</t>
  </si>
  <si>
    <t>Nome:</t>
  </si>
  <si>
    <t>Ident. Org. Emissor:</t>
  </si>
  <si>
    <t>End.:</t>
  </si>
  <si>
    <t>Cidade: UF:</t>
  </si>
  <si>
    <t>_____/_____/_____</t>
  </si>
  <si>
    <t>Telefone:</t>
  </si>
  <si>
    <t>DATA</t>
  </si>
  <si>
    <t>ASSINATURA DO FARMACÊUTICO</t>
  </si>
  <si>
    <t>HOSPITAL DOS SERVIDORES DO ESTADO
SOLICITAÇÃO E AUTORIZAÇÃO DE EXAMES ESPECIAIS</t>
  </si>
  <si>
    <t>REGISTRO:</t>
  </si>
  <si>
    <t>MÃE:</t>
  </si>
  <si>
    <t>ENF.:</t>
  </si>
  <si>
    <t>LEITO:</t>
  </si>
  <si>
    <t>IDADE:</t>
  </si>
  <si>
    <t>SEXO:</t>
  </si>
  <si>
    <t>SETOR SOLICITANTE:</t>
  </si>
  <si>
    <t>EXAMES REALIZADOS</t>
  </si>
  <si>
    <t>DADOS CLÍNICOS</t>
  </si>
  <si>
    <t>HIPÓTESE DIAGNÓSTICA</t>
  </si>
  <si>
    <t>EXAME SOLICITADO</t>
  </si>
  <si>
    <t>CARÁTER</t>
  </si>
  <si>
    <t>URGÊNCIA ABSOLUTA</t>
  </si>
  <si>
    <t>URGÊNCIA RELATIVA</t>
  </si>
  <si>
    <t xml:space="preserve">  X</t>
  </si>
  <si>
    <t>ROTINA</t>
  </si>
  <si>
    <t>CONTROLE</t>
  </si>
  <si>
    <t>Data:</t>
  </si>
  <si>
    <t>Carimbo e Assinatura do Solicitante</t>
  </si>
  <si>
    <t>Carimbo e Assinatura da Chefia</t>
  </si>
  <si>
    <t>OBSERVAÇÕES</t>
  </si>
  <si>
    <t>SOLICITO ATUALIZAÇÃO VACINAL - CALENDÁRIO DE VACINAÇÃO DO IDOSO</t>
  </si>
  <si>
    <t>Influenza (Dose anual):</t>
  </si>
  <si>
    <t>Dose: _____/_____/_____ &gt; Reforço anual.</t>
  </si>
  <si>
    <t>COVID-19 (Dose de reforço a cada 6 meses):</t>
  </si>
  <si>
    <t>Dose: _____/_____/_____ &gt; Repetir após 6 meses: _____/_____/_____ &gt; Reforço a cada 6 meses.</t>
  </si>
  <si>
    <t>Pneumocócica:</t>
  </si>
  <si>
    <t>Preferência = VPC20 (Dose única): _____/_____/_____.</t>
  </si>
  <si>
    <t>OBS: DISPONÍVEL APENAS NA REDE PARTICULAR - R$ 350-550,00.</t>
  </si>
  <si>
    <t>Se indisponibilidade de VPC20:</t>
  </si>
  <si>
    <t>VPC13:  _____/_____/_____ &gt; Após 6 meses, fazer:</t>
  </si>
  <si>
    <t>VPP23: _____/_____/_____ &gt; Repetir após 5 anos: _____/_____/_____.</t>
  </si>
  <si>
    <t xml:space="preserve">OBS: DISPONÍVEL NO SUS APENAS PARA GRUPOS DE RISCO NO CRIE: Hospital Universitário Oswaldo Cruz </t>
  </si>
  <si>
    <t>CRIE-PE (Rua Arnóbio Marques, 310, Santo Amaro, Recife – PE). Contato: (81) 3184-1370 ou (81) 3184-1369.</t>
  </si>
  <si>
    <t>dT/dTpa:</t>
  </si>
  <si>
    <t>Sem esquema prévio:</t>
  </si>
  <si>
    <t>dT: _____/_____/_____ &gt; Repetir após 2 meses: _____/_____/_____ &gt; Após 2 meses da última dose, fazer:</t>
  </si>
  <si>
    <t>dTpa: _____/_____/_____ &gt; Repetir a cada 10 anos.</t>
  </si>
  <si>
    <t>Com esquema prévio:</t>
  </si>
  <si>
    <t>dTpa (Dose de reforço a cada 10 anos): _____/_____/_____  &gt; Repetir a cada 10 anos.</t>
  </si>
  <si>
    <t>Hepatite B:</t>
  </si>
  <si>
    <t xml:space="preserve">Dose: _____/_____/_____ &gt; Repetir após 1 mês: _____/_____/_____ </t>
  </si>
  <si>
    <t>&gt;  Repetir após 6 meses da 1° dose: _____/_____/_____.</t>
  </si>
  <si>
    <t>Vírus sincicial respiratório (VSR) (Dose única): _____/_____/_____.</t>
  </si>
  <si>
    <t>Herpes-zóster (VZR recombinante - Shingrix):</t>
  </si>
  <si>
    <t>Dose: _____/_____/_____ &gt; Repetir após 2 meses: _____/_____/_____.</t>
  </si>
  <si>
    <t>OBS: DISPONÍVEL APENAS NA REDE PARTICULAR - R$ 700-950,00 POR DOSE (R$ 1400-1900,00 TOTAL).</t>
  </si>
  <si>
    <t>PACIENTE COM INDICAÇÃO DE RASTREIO DE CA COLORRETAL</t>
  </si>
  <si>
    <t>RASTREIO CA COLORRETAL</t>
  </si>
  <si>
    <t>COLONOSCOPIA COM BIÓPSIA</t>
  </si>
  <si>
    <t>X</t>
  </si>
  <si>
    <t>PACIENTE EM INVESTIGAÇÃO DE DISPEPSIA</t>
  </si>
  <si>
    <t>DRGE?</t>
  </si>
  <si>
    <t>ENDOSCOPIA DIGESTIVA ALTA COM BIÓPSIA E PESQUISA DE H. PYLORI</t>
  </si>
  <si>
    <t>PACIENTE COM INDICAÇÃO DE RASTREIO DE OSTEOPOROSE</t>
  </si>
  <si>
    <t>RASTREIO OSTEOPOROSE</t>
  </si>
  <si>
    <t>DENSITOMETRIA MINERAL ÓSSEA</t>
  </si>
  <si>
    <t>PACIENTE COM INDICAÇÃO DE RASTREIO DE CA MAMA</t>
  </si>
  <si>
    <t>RASTREIO CA MAMA</t>
  </si>
  <si>
    <t>MAMOGRAFIA BILATERAL</t>
  </si>
  <si>
    <t xml:space="preserve">PACIENTE COM INDICAÇÃO DE RASTREIO DE CA MAMA, COM MMG INCONCLUSIVA. </t>
  </si>
  <si>
    <t>USG MAMAS BILATERAL</t>
  </si>
  <si>
    <t>PACIENTE COM INDICAÇÃO DE RASTREIO DE CA COLO DE ÚTERO</t>
  </si>
  <si>
    <t>RASTREIO CA COLO DE ÚTERO</t>
  </si>
  <si>
    <t>CITOLOGIA ONCÓTICA CERVICAL</t>
  </si>
  <si>
    <t>Teste molecular para detecção de HPV de alto risco (DNA-HPV)</t>
  </si>
  <si>
    <t>PACIENTE TABAGISTA / EX-TABAGISTA, COM INDICAÇÃO DE RASTREIO DE CA PULMÃO</t>
  </si>
  <si>
    <t xml:space="preserve"> 1° EXAME</t>
  </si>
  <si>
    <t>RASTREIO CA PULMÃO</t>
  </si>
  <si>
    <t>TC TÓRAX COM CONTRASTE</t>
  </si>
  <si>
    <t>COM ACOMPANHAMENTO ANESTÉSICO</t>
  </si>
  <si>
    <t>TC TÓRAX SEM CONTRASTE - BAIXA DOSE</t>
  </si>
  <si>
    <t xml:space="preserve">PACIENTE TABAGITA / EX-TABAGISTA, COM INDICAÇÃO DE RASTREIO ANEURISMA DE AORTA ABDOMINAL                                                                                                                                                                                         </t>
  </si>
  <si>
    <t xml:space="preserve">RASTREIO ANEURISMA DE AORTA ABDOMINAL </t>
  </si>
  <si>
    <t>Ultrassonografia da aorta abdominal com medida do diâmetro da aorta</t>
  </si>
  <si>
    <t>PACIENTE EM INVESTIGAÇÃO DE HAS DESCONTROLADA</t>
  </si>
  <si>
    <t>HAS DESCONTROLADA?</t>
  </si>
  <si>
    <t>MAPA 24H</t>
  </si>
  <si>
    <t xml:space="preserve">PACIENTE EM INVESTIGAÇÃO DE ARRITMIA </t>
  </si>
  <si>
    <t>ARRITMIA?</t>
  </si>
  <si>
    <t>HOLTER 24H</t>
  </si>
  <si>
    <t xml:space="preserve">PACIENTE EM INVESTIGAÇÃO DE IC. </t>
  </si>
  <si>
    <t>IC?</t>
  </si>
  <si>
    <t>ECOTT</t>
  </si>
  <si>
    <t xml:space="preserve">PACIENTE HAS, DM2, EM INVESTIGAÇÃO DE DAC. </t>
  </si>
  <si>
    <t>DAC?</t>
  </si>
  <si>
    <t>CINTILOGRAFIA MIOCÁRDICA EM REPOUSO E COM ESTRESSE FARMACOLÓGICO</t>
  </si>
  <si>
    <t>SAOS?</t>
  </si>
  <si>
    <t>POLISSONOGRAFIA</t>
  </si>
  <si>
    <t>DECLÍNIO COGNITIVO A/E</t>
  </si>
  <si>
    <t>RNM CRÂNIO S/C</t>
  </si>
  <si>
    <t>USG RINS E VIAS URINÁRIAS COM RESÍDUO PÓS-MICCIONAL</t>
  </si>
  <si>
    <t>DISPNEIA A/E</t>
  </si>
  <si>
    <t xml:space="preserve">ESPIROMETRIA COM PROVA BRONCODILATADORA																							</t>
  </si>
  <si>
    <t>ELETROCARDIOGRAMA</t>
  </si>
  <si>
    <t>BNP</t>
  </si>
  <si>
    <t>HD: IC?</t>
  </si>
  <si>
    <t>MEDIDAS DE HGT PARA TRAZER EM PRÓXIMA CONSULTA</t>
  </si>
  <si>
    <t>MEDIDAS DE PRESSÃO ARTERIAL PARA TRAZER EM PRÓXIMA CONSULTA</t>
  </si>
  <si>
    <t xml:space="preserve">ORIENTAÇÕES: </t>
  </si>
  <si>
    <t>Aferir a pressão em ambiente calmo e silencioso.</t>
  </si>
  <si>
    <t>Repousar por pelo menos 5 minutos antes da medida.</t>
  </si>
  <si>
    <t>Não conversar durante a aferição.</t>
  </si>
  <si>
    <t>Evitar exercício físico nos 30 minutos anteriores.</t>
  </si>
  <si>
    <t>Não fumar, ingerir café, chá, bebidas energéticas ou álcool nos 30 minutos anteriores.</t>
  </si>
  <si>
    <t>Esvaziar a bexiga antes da medida, se necessário.</t>
  </si>
  <si>
    <t>Sentar-se com as costas apoiadas.</t>
  </si>
  <si>
    <t>Manter os pés apoiados no chão, sem cruzar as pernas.</t>
  </si>
  <si>
    <t>Apoiar o braço em uma mesa, na altura do coração.</t>
  </si>
  <si>
    <t>Não medir sobre roupas; o braço deve estar descoberto.</t>
  </si>
  <si>
    <t>Preferencialmente utilizar sempre o mesmo aparelho e o mesmo braço.</t>
  </si>
  <si>
    <t>Realizar as medidas por 7 dias consecutivos (ou pelo menos 5 dias)</t>
  </si>
  <si>
    <t xml:space="preserve">
USO ORAL
DULOXETINA 30MG -------------------------- 30 CP
TOMAR 1 COMPRIMIDO PELA MANHÃ. </t>
  </si>
  <si>
    <t xml:space="preserve">
RETORNO - GERIATRIA
LOCAL: CEMPRE - RUA DA HORA, N°862, ESPINHEIRO, RECIFE-PE.  
DRA BRUNA MAIA 
DATA: 
HORÁRIO: 
----------------------------------------------------------------------------------------------
RETORNO - GERIATRIA 
LOCAL: PRÉDIO DOS AMBULATÓRIOS DO HOSPITAL DOS SERVIDORES DO ESTADO, TÉRREO, RECEPÇÃO 1
DR
DATA: 
HORÁRIO: 
ATENÇÃO - ATENDIMENTO POR ORDEM DE CHEGADA
</t>
  </si>
  <si>
    <t xml:space="preserve">INDICAÇÕES DE LOCAIS PARA REALIZAÇÃO DE EXAMES PELO SASSEPE
LABORATÓRIO E ANATOMOPATOLÓGICO (BIÓPSIA) - CERPE, MAX DAY HOSPITAL (SHOPPING RIOMAR)
EXAMES DE IMAGEM - SIR, BORIS BERENSTEIN, LUCILO MARANHÃO, CLÍNICA ARMINDO MOURA NETO, MAX DAY HOSPITAL (SHOPPING RIOMAR), USPE
EXAMES CARDÍACOS - PREVENCOR PAISSANDU, HOSPITAL DOS SERVIDORES DO ESTADO, VITA SAÚDE, USPE
ENDOSCOPIA, COLONOSCOPIA - ENDOTERAPÊUTICA, DIAGNOSTIKA ENDOSCOPIA E RADIOLOGIA, ENDOIMAGEM, NEOGASTRO, HOSPITAL DOS SERVIDORES DO ESTADO, MAX DAY HOSPITAL (SHOPPING RIOMAR)
EXAMES GINECOLÓGICOS - HOSPITAL DOS SERVIDORES DO ESTADO, MAX DAY HOSPITAL (SHOPPING RIOMAR)
ESPIROMETRIA - IMUNOÁLIS, MAIS SAÚDE, CLÍNICA ALTERNATIVA, VITA SAÚDE, TOP SAÚDE, USPE
BRONCOSCOPIA - PNEUMOCLIN
OFTALMOLÓGICOS - HOPE, IOR, OFTALMAX, OFTALMO ZONA SUL, HOSPITAL DE OLHOS SANTA LUZIA
OTORRINOLARINGOLÓGICOS, POLISSONOGRAFIA - OTORRINOS RECIFE, CLÍNICA ERNANI BÉRGANO
</t>
  </si>
  <si>
    <t>PACIENTE EM INVESTIGAÇÃO DE DAOP</t>
  </si>
  <si>
    <t>DAOP</t>
  </si>
  <si>
    <t>USG DOPPLER ARTERIAL DE MEMBROS INFERIORES</t>
  </si>
  <si>
    <t>USG DOPPLER VENOSO DE MEMBROS INFERIORES</t>
  </si>
  <si>
    <t>GUIA</t>
  </si>
  <si>
    <t>IMPRIMIR (X)</t>
  </si>
  <si>
    <t>Cadastro</t>
  </si>
  <si>
    <t>RETORNO</t>
  </si>
  <si>
    <t>INDICAÇÃO LOCAIS PARA EXAMES</t>
  </si>
  <si>
    <t>Receituário Simples</t>
  </si>
  <si>
    <t>Exame Simples Branco</t>
  </si>
  <si>
    <t>Exames Laboratoriais Modelo</t>
  </si>
  <si>
    <t>Receituário Especial</t>
  </si>
  <si>
    <t>Exame Especial</t>
  </si>
  <si>
    <t>Vacina</t>
  </si>
  <si>
    <t>MAPA PA</t>
  </si>
  <si>
    <t>MAPA HGT</t>
  </si>
  <si>
    <t>COLONO</t>
  </si>
  <si>
    <t>EDA</t>
  </si>
  <si>
    <t>DMO</t>
  </si>
  <si>
    <t>MMG</t>
  </si>
  <si>
    <t>USG MAMA</t>
  </si>
  <si>
    <t>CCO</t>
  </si>
  <si>
    <t>DNA HPV</t>
  </si>
  <si>
    <t>TC TÓRAX - 1°</t>
  </si>
  <si>
    <t>TC TÓRAX BAIXA DOSE</t>
  </si>
  <si>
    <t>USG ABD ANEURISMA</t>
  </si>
  <si>
    <t>CINTILO</t>
  </si>
  <si>
    <t>POLISSONO</t>
  </si>
  <si>
    <t>RNM CRÂNIO</t>
  </si>
  <si>
    <t>USG RINS</t>
  </si>
  <si>
    <t>ESPIRO</t>
  </si>
  <si>
    <t>ECG</t>
  </si>
  <si>
    <t>USG ARTERIAL MMII</t>
  </si>
  <si>
    <t>USG VENOSO MMII</t>
  </si>
  <si>
    <t>Marque X na coluna B nas guias que deseja imprimir e clique no botão (após instalar a macro).</t>
  </si>
  <si>
    <t/>
  </si>
  <si>
    <t>PACIENTE COM RONSCOS NOTURNOS, EM INVESTIGAÇÃO DE APNEIA DO SONO</t>
  </si>
  <si>
    <t xml:space="preserve">PACIENTE IDOSO, EM INVESTIGAÇÃO DE DECLÍNIO COGNITIVO. </t>
  </si>
  <si>
    <t xml:space="preserve">PACIENTE EM INVESTIGAÇÃO DE INSUFICIÊNCIA VENOSA EM MEMBROS INFERIORES </t>
  </si>
  <si>
    <t xml:space="preserve">INSUFICIÊNCIA VENOSA?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</si>
</sst>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scheme val="minor"/>
    </font>
    <font>
      <b/>
      <sz val="13"/>
      <color rgb="FFFFFFFF"/>
      <name val="Arial"/>
    </font>
    <font>
      <i/>
      <sz val="9"/>
      <color rgb="FF555555"/>
      <name val="Arial"/>
    </font>
    <font>
      <b/>
      <sz val="10"/>
      <color theme="1"/>
      <name val="Arial"/>
    </font>
    <font>
      <sz val="10"/>
      <color rgb="FF0000FF"/>
      <name val="Arial"/>
    </font>
    <font>
      <sz val="10"/>
      <color theme="1"/>
      <name val="Arial"/>
    </font>
    <font>
      <b/>
      <sz val="13"/>
      <color theme="1"/>
      <name val="Arial"/>
    </font>
    <font>
      <b/>
      <sz val="9"/>
      <color theme="1"/>
      <name val="Arial"/>
    </font>
    <font>
      <sz val="7"/>
      <color rgb="FF555555"/>
      <name val="Arial"/>
    </font>
    <font>
      <sz val="11"/>
      <color theme="1"/>
      <name val="Arial"/>
    </font>
    <font>
      <b/>
      <i/>
      <sz val="8"/>
      <color theme="1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theme="1"/>
      <name val="Arial"/>
    </font>
    <font>
      <sz val="6"/>
      <color rgb="FF555555"/>
      <name val="Arial"/>
    </font>
    <font>
      <b/>
      <sz val="11"/>
      <color theme="1"/>
      <name val="Arial"/>
    </font>
    <font>
      <sz val="11"/>
      <name val="Arial"/>
    </font>
    <font>
      <b/>
      <sz val="10"/>
      <color rgb="FFFFFFFF"/>
      <name val="Arial"/>
    </font>
    <font>
      <i/>
      <sz val="9"/>
      <color theme="1"/>
      <name val="Arial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8C"/>
        <bgColor rgb="FF1F4E8C"/>
      </patternFill>
    </fill>
    <fill>
      <patternFill patternType="solid">
        <fgColor rgb="FFF2F2F2"/>
        <bgColor rgb="FFF2F2F2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3" fillId="3" borderId="3" xfId="0" applyFont="1" applyFill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9" fillId="0" borderId="7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0" xfId="0" applyFont="1"/>
    <xf numFmtId="0" fontId="9" fillId="0" borderId="8" xfId="0" applyFont="1" applyBorder="1"/>
    <xf numFmtId="0" fontId="9" fillId="0" borderId="6" xfId="0" applyFont="1" applyBorder="1"/>
    <xf numFmtId="0" fontId="9" fillId="0" borderId="13" xfId="0" applyFont="1" applyBorder="1"/>
    <xf numFmtId="0" fontId="9" fillId="0" borderId="14" xfId="0" applyFont="1" applyBorder="1"/>
    <xf numFmtId="0" fontId="17" fillId="4" borderId="3" xfId="0" applyFont="1" applyFill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0" fontId="18" fillId="0" borderId="0" xfId="0" applyFont="1"/>
    <xf numFmtId="0" fontId="19" fillId="0" borderId="3" xfId="0" applyFont="1" applyBorder="1" applyAlignment="1">
      <alignment horizontal="center"/>
    </xf>
    <xf numFmtId="0" fontId="20" fillId="5" borderId="3" xfId="0" applyFont="1" applyFill="1" applyBorder="1" applyAlignment="1">
      <alignment horizontal="center"/>
    </xf>
    <xf numFmtId="0" fontId="19" fillId="0" borderId="3" xfId="0" applyFont="1" applyBorder="1"/>
    <xf numFmtId="0" fontId="1" fillId="2" borderId="1" xfId="0" applyFont="1" applyFill="1" applyBorder="1" applyAlignment="1">
      <alignment horizontal="left" vertical="center"/>
    </xf>
    <xf numFmtId="0" fontId="16" fillId="0" borderId="2" xfId="0" applyFont="1" applyBorder="1"/>
    <xf numFmtId="0" fontId="2" fillId="0" borderId="0" xfId="0" applyFont="1" applyAlignment="1">
      <alignment vertical="center" wrapText="1"/>
    </xf>
    <xf numFmtId="0" fontId="9" fillId="0" borderId="0" xfId="0" applyFont="1"/>
    <xf numFmtId="0" fontId="9" fillId="0" borderId="4" xfId="0" applyFont="1" applyBorder="1" applyAlignment="1">
      <alignment horizontal="left" vertical="top" wrapText="1"/>
    </xf>
    <xf numFmtId="0" fontId="16" fillId="0" borderId="5" xfId="0" applyFont="1" applyBorder="1"/>
    <xf numFmtId="0" fontId="16" fillId="0" borderId="6" xfId="0" applyFont="1" applyBorder="1"/>
    <xf numFmtId="0" fontId="16" fillId="0" borderId="7" xfId="0" applyFont="1" applyBorder="1"/>
    <xf numFmtId="0" fontId="16" fillId="0" borderId="8" xfId="0" applyFont="1" applyBorder="1"/>
    <xf numFmtId="0" fontId="8" fillId="0" borderId="7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6" fillId="0" borderId="13" xfId="0" applyFont="1" applyBorder="1"/>
    <xf numFmtId="0" fontId="16" fillId="0" borderId="14" xfId="0" applyFont="1" applyBorder="1"/>
    <xf numFmtId="0" fontId="6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left" vertical="center"/>
    </xf>
    <xf numFmtId="0" fontId="16" fillId="0" borderId="10" xfId="0" applyFont="1" applyBorder="1"/>
    <xf numFmtId="0" fontId="16" fillId="0" borderId="11" xfId="0" applyFont="1" applyBorder="1"/>
    <xf numFmtId="0" fontId="5" fillId="0" borderId="9" xfId="0" applyFont="1" applyBorder="1" applyAlignment="1">
      <alignment horizontal="left" vertical="center"/>
    </xf>
    <xf numFmtId="14" fontId="5" fillId="0" borderId="9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horizontal="left" vertical="top" wrapText="1"/>
    </xf>
    <xf numFmtId="0" fontId="9" fillId="0" borderId="7" xfId="0" applyFont="1" applyBorder="1" applyAlignment="1">
      <alignment horizontal="center"/>
    </xf>
    <xf numFmtId="0" fontId="9" fillId="0" borderId="7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3" fillId="0" borderId="0" xfId="0" applyFont="1" applyAlignment="1">
      <alignment horizontal="right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right" vertical="center" wrapText="1"/>
    </xf>
    <xf numFmtId="0" fontId="12" fillId="0" borderId="10" xfId="0" applyFont="1" applyBorder="1" applyAlignment="1">
      <alignment horizontal="left" vertical="center"/>
    </xf>
    <xf numFmtId="0" fontId="15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16" fillId="0" borderId="12" xfId="0" applyFont="1" applyBorder="1"/>
    <xf numFmtId="0" fontId="13" fillId="0" borderId="9" xfId="0" applyFont="1" applyBorder="1" applyAlignment="1">
      <alignment horizontal="center" vertical="center"/>
    </xf>
    <xf numFmtId="0" fontId="9" fillId="0" borderId="4" xfId="0" applyFont="1" applyBorder="1"/>
    <xf numFmtId="0" fontId="8" fillId="0" borderId="0" xfId="0" applyFont="1" applyAlignment="1">
      <alignment horizontal="center"/>
    </xf>
    <xf numFmtId="0" fontId="13" fillId="0" borderId="9" xfId="0" applyFont="1" applyBorder="1" applyAlignment="1">
      <alignment horizontal="left" vertical="center"/>
    </xf>
    <xf numFmtId="0" fontId="9" fillId="0" borderId="7" xfId="0" applyFont="1" applyBorder="1"/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2</xdr:row>
          <xdr:rowOff>160020</xdr:rowOff>
        </xdr:from>
        <xdr:to>
          <xdr:col>5</xdr:col>
          <xdr:colOff>594360</xdr:colOff>
          <xdr:row>6</xdr:row>
          <xdr:rowOff>7620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0</xdr:rowOff>
    </xdr:from>
    <xdr:ext cx="1076325" cy="619125"/>
    <xdr:pic>
      <xdr:nvPicPr>
        <xdr:cNvPr id="2" name="image1.png" descr="Picture" title="Imagem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25</xdr:col>
      <xdr:colOff>9525</xdr:colOff>
      <xdr:row>0</xdr:row>
      <xdr:rowOff>0</xdr:rowOff>
    </xdr:from>
    <xdr:ext cx="1076325" cy="619125"/>
    <xdr:pic>
      <xdr:nvPicPr>
        <xdr:cNvPr id="3" name="image1.png" descr="Picture" title="Imagem">
          <a:extLst>
            <a:ext uri="{FF2B5EF4-FFF2-40B4-BE49-F238E27FC236}">
              <a16:creationId xmlns:a16="http://schemas.microsoft.com/office/drawing/2014/main" id="{2D42F13D-825D-45AD-9FE6-2A5B0AC978D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13</xdr:row>
      <xdr:rowOff>28575</xdr:rowOff>
    </xdr:from>
    <xdr:ext cx="5534025" cy="1209675"/>
    <xdr:pic>
      <xdr:nvPicPr>
        <xdr:cNvPr id="3" name="image2.png" title="Imagem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57150</xdr:colOff>
      <xdr:row>11</xdr:row>
      <xdr:rowOff>47625</xdr:rowOff>
    </xdr:from>
    <xdr:ext cx="5534025" cy="2695575"/>
    <xdr:pic>
      <xdr:nvPicPr>
        <xdr:cNvPr id="3" name="image3.png" title="Imagem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1A11FB7F-3482-4A64-A0D0-20952760945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95C8D36D-34B6-4C2F-A913-8CF483A42CB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C139CA-5295-42FC-8E96-7DC87DD2E493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dcafd6e9-5d17-4931-af99-7a7ee7cbdc3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B1:C1000"/>
  <sheetViews>
    <sheetView showGridLines="0" zoomScale="77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1" sqref="F21"/>
    </sheetView>
  </sheetViews>
  <sheetFormatPr defaultColWidth="14.44140625" defaultRowHeight="15" customHeight="1" x14ac:dyDescent="0.3"/>
  <cols>
    <col min="1" max="1" width="4" customWidth="1"/>
    <col min="2" max="2" width="30" customWidth="1"/>
    <col min="3" max="3" width="55" customWidth="1"/>
    <col min="4" max="6" width="8.6640625" customWidth="1"/>
  </cols>
  <sheetData>
    <row r="1" spans="2:3" ht="7.5" customHeight="1" x14ac:dyDescent="0.3"/>
    <row r="2" spans="2:3" ht="24" customHeight="1" x14ac:dyDescent="0.3">
      <c r="B2" s="29" t="s">
        <v>0</v>
      </c>
      <c r="C2" s="30"/>
    </row>
    <row r="3" spans="2:3" ht="14.25" customHeight="1" x14ac:dyDescent="0.3">
      <c r="B3" s="17"/>
      <c r="C3" s="17"/>
    </row>
    <row r="4" spans="2:3" ht="30" customHeight="1" x14ac:dyDescent="0.3">
      <c r="B4" s="31" t="s">
        <v>1</v>
      </c>
      <c r="C4" s="32"/>
    </row>
    <row r="5" spans="2:3" ht="14.25" customHeight="1" x14ac:dyDescent="0.3">
      <c r="B5" s="17"/>
      <c r="C5" s="17"/>
    </row>
    <row r="6" spans="2:3" ht="24" customHeight="1" x14ac:dyDescent="0.3">
      <c r="B6" s="29" t="s">
        <v>2</v>
      </c>
      <c r="C6" s="30"/>
    </row>
    <row r="7" spans="2:3" ht="19.5" customHeight="1" x14ac:dyDescent="0.3">
      <c r="B7" s="1" t="s">
        <v>3</v>
      </c>
      <c r="C7" s="2"/>
    </row>
    <row r="8" spans="2:3" ht="19.5" customHeight="1" x14ac:dyDescent="0.3">
      <c r="B8" s="1" t="s">
        <v>4</v>
      </c>
      <c r="C8" s="2" t="s">
        <v>202</v>
      </c>
    </row>
    <row r="9" spans="2:3" ht="19.5" customHeight="1" x14ac:dyDescent="0.3">
      <c r="B9" s="1" t="s">
        <v>5</v>
      </c>
      <c r="C9" s="2" t="s">
        <v>202</v>
      </c>
    </row>
    <row r="10" spans="2:3" ht="19.5" customHeight="1" x14ac:dyDescent="0.3">
      <c r="B10" s="3" t="s">
        <v>6</v>
      </c>
      <c r="C10" s="2"/>
    </row>
    <row r="11" spans="2:3" ht="19.5" customHeight="1" x14ac:dyDescent="0.3">
      <c r="B11" s="3" t="s">
        <v>7</v>
      </c>
      <c r="C11" s="2"/>
    </row>
    <row r="12" spans="2:3" ht="19.5" customHeight="1" x14ac:dyDescent="0.3">
      <c r="B12" s="1" t="s">
        <v>8</v>
      </c>
      <c r="C12" s="2"/>
    </row>
    <row r="13" spans="2:3" ht="19.5" customHeight="1" x14ac:dyDescent="0.3">
      <c r="B13" s="1" t="s">
        <v>9</v>
      </c>
      <c r="C13" s="2" t="s">
        <v>202</v>
      </c>
    </row>
    <row r="14" spans="2:3" ht="19.5" customHeight="1" x14ac:dyDescent="0.3">
      <c r="B14" s="1" t="s">
        <v>10</v>
      </c>
      <c r="C14" s="2" t="s">
        <v>11</v>
      </c>
    </row>
    <row r="15" spans="2:3" ht="19.5" customHeight="1" x14ac:dyDescent="0.3">
      <c r="B15" s="3" t="s">
        <v>12</v>
      </c>
      <c r="C15" s="2"/>
    </row>
    <row r="16" spans="2:3" ht="19.5" customHeight="1" x14ac:dyDescent="0.3">
      <c r="B16" s="3" t="s">
        <v>13</v>
      </c>
      <c r="C16" s="2"/>
    </row>
    <row r="17" spans="2:3" ht="14.25" customHeight="1" x14ac:dyDescent="0.3">
      <c r="B17" s="17"/>
      <c r="C17" s="17"/>
    </row>
    <row r="18" spans="2:3" ht="24" customHeight="1" x14ac:dyDescent="0.3">
      <c r="B18" s="29" t="s">
        <v>14</v>
      </c>
      <c r="C18" s="30"/>
    </row>
    <row r="19" spans="2:3" ht="19.5" customHeight="1" x14ac:dyDescent="0.3">
      <c r="B19" s="3" t="s">
        <v>15</v>
      </c>
      <c r="C19" s="2"/>
    </row>
    <row r="20" spans="2:3" ht="19.5" customHeight="1" x14ac:dyDescent="0.3">
      <c r="B20" s="3" t="s">
        <v>16</v>
      </c>
      <c r="C20" s="2"/>
    </row>
    <row r="21" spans="2:3" ht="19.5" customHeight="1" x14ac:dyDescent="0.3">
      <c r="B21" s="3" t="s">
        <v>17</v>
      </c>
      <c r="C21" s="2"/>
    </row>
    <row r="22" spans="2:3" ht="19.5" customHeight="1" x14ac:dyDescent="0.3">
      <c r="B22" s="3" t="s">
        <v>18</v>
      </c>
      <c r="C22" s="2"/>
    </row>
    <row r="23" spans="2:3" ht="19.5" customHeight="1" x14ac:dyDescent="0.3">
      <c r="B23" s="3" t="s">
        <v>19</v>
      </c>
      <c r="C23" s="2"/>
    </row>
    <row r="24" spans="2:3" ht="19.5" customHeight="1" x14ac:dyDescent="0.3">
      <c r="B24" s="3" t="s">
        <v>20</v>
      </c>
      <c r="C24" s="2"/>
    </row>
    <row r="25" spans="2:3" ht="19.5" customHeight="1" x14ac:dyDescent="0.3">
      <c r="B25" s="3" t="s">
        <v>21</v>
      </c>
      <c r="C25" s="2"/>
    </row>
    <row r="26" spans="2:3" ht="14.25" customHeight="1" x14ac:dyDescent="0.3"/>
    <row r="27" spans="2:3" ht="14.25" customHeight="1" x14ac:dyDescent="0.3"/>
    <row r="28" spans="2:3" ht="14.25" customHeight="1" x14ac:dyDescent="0.3"/>
    <row r="29" spans="2:3" ht="14.25" customHeight="1" x14ac:dyDescent="0.3"/>
    <row r="30" spans="2:3" ht="14.25" customHeight="1" x14ac:dyDescent="0.3"/>
    <row r="31" spans="2:3" ht="14.25" customHeight="1" x14ac:dyDescent="0.3"/>
    <row r="32" spans="2:3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B2:C2"/>
    <mergeCell ref="B4:C4"/>
    <mergeCell ref="B6:C6"/>
    <mergeCell ref="B18:C18"/>
  </mergeCells>
  <pageMargins left="0.75" right="0.75" top="1" bottom="1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70BB-BF39-4716-99DE-CC8B9BB923D9}">
  <sheetPr codeName="Planilha1"/>
  <dimension ref="A1:D34"/>
  <sheetViews>
    <sheetView workbookViewId="0">
      <pane ySplit="1" topLeftCell="A2" activePane="bottomLeft" state="frozen"/>
      <selection pane="bottomLeft" activeCell="B9" sqref="B9"/>
    </sheetView>
  </sheetViews>
  <sheetFormatPr defaultRowHeight="14.4" x14ac:dyDescent="0.3"/>
  <cols>
    <col min="1" max="1" width="37" customWidth="1"/>
    <col min="2" max="2" width="16.6640625" customWidth="1"/>
  </cols>
  <sheetData>
    <row r="1" spans="1:4" x14ac:dyDescent="0.3">
      <c r="A1" s="22" t="s">
        <v>170</v>
      </c>
      <c r="B1" s="22" t="s">
        <v>171</v>
      </c>
    </row>
    <row r="2" spans="1:4" x14ac:dyDescent="0.3">
      <c r="A2" s="23" t="s">
        <v>172</v>
      </c>
      <c r="B2" s="27"/>
      <c r="D2" s="25" t="s">
        <v>201</v>
      </c>
    </row>
    <row r="3" spans="1:4" x14ac:dyDescent="0.3">
      <c r="A3" s="28" t="s">
        <v>173</v>
      </c>
      <c r="B3" s="26"/>
    </row>
    <row r="4" spans="1:4" x14ac:dyDescent="0.3">
      <c r="A4" s="23" t="s">
        <v>174</v>
      </c>
      <c r="B4" s="26"/>
    </row>
    <row r="5" spans="1:4" x14ac:dyDescent="0.3">
      <c r="A5" s="23" t="s">
        <v>175</v>
      </c>
      <c r="B5" s="26" t="s">
        <v>101</v>
      </c>
    </row>
    <row r="6" spans="1:4" x14ac:dyDescent="0.3">
      <c r="A6" s="23" t="s">
        <v>176</v>
      </c>
      <c r="B6" s="26"/>
    </row>
    <row r="7" spans="1:4" x14ac:dyDescent="0.3">
      <c r="A7" s="23" t="s">
        <v>177</v>
      </c>
      <c r="B7" s="26" t="s">
        <v>101</v>
      </c>
    </row>
    <row r="8" spans="1:4" x14ac:dyDescent="0.3">
      <c r="A8" s="23" t="s">
        <v>178</v>
      </c>
      <c r="B8" s="26" t="s">
        <v>101</v>
      </c>
    </row>
    <row r="9" spans="1:4" x14ac:dyDescent="0.3">
      <c r="A9" s="23" t="s">
        <v>179</v>
      </c>
      <c r="B9" s="26"/>
    </row>
    <row r="10" spans="1:4" x14ac:dyDescent="0.3">
      <c r="A10" s="23" t="s">
        <v>180</v>
      </c>
      <c r="B10" s="26"/>
    </row>
    <row r="11" spans="1:4" x14ac:dyDescent="0.3">
      <c r="A11" s="23" t="s">
        <v>181</v>
      </c>
      <c r="B11" s="24"/>
    </row>
    <row r="12" spans="1:4" x14ac:dyDescent="0.3">
      <c r="A12" s="23" t="s">
        <v>182</v>
      </c>
      <c r="B12" s="24"/>
    </row>
    <row r="13" spans="1:4" x14ac:dyDescent="0.3">
      <c r="A13" s="23" t="s">
        <v>183</v>
      </c>
      <c r="B13" s="24"/>
    </row>
    <row r="14" spans="1:4" x14ac:dyDescent="0.3">
      <c r="A14" s="23" t="s">
        <v>184</v>
      </c>
      <c r="B14" s="24"/>
    </row>
    <row r="15" spans="1:4" x14ac:dyDescent="0.3">
      <c r="A15" s="23" t="s">
        <v>185</v>
      </c>
      <c r="B15" s="24"/>
    </row>
    <row r="16" spans="1:4" x14ac:dyDescent="0.3">
      <c r="A16" s="23" t="s">
        <v>186</v>
      </c>
      <c r="B16" s="24"/>
    </row>
    <row r="17" spans="1:2" x14ac:dyDescent="0.3">
      <c r="A17" s="23" t="s">
        <v>187</v>
      </c>
      <c r="B17" s="24"/>
    </row>
    <row r="18" spans="1:2" x14ac:dyDescent="0.3">
      <c r="A18" s="23" t="s">
        <v>188</v>
      </c>
      <c r="B18" s="24"/>
    </row>
    <row r="19" spans="1:2" x14ac:dyDescent="0.3">
      <c r="A19" s="23" t="s">
        <v>189</v>
      </c>
      <c r="B19" s="24"/>
    </row>
    <row r="20" spans="1:2" x14ac:dyDescent="0.3">
      <c r="A20" s="23" t="s">
        <v>190</v>
      </c>
      <c r="B20" s="24"/>
    </row>
    <row r="21" spans="1:2" x14ac:dyDescent="0.3">
      <c r="A21" s="23" t="s">
        <v>191</v>
      </c>
      <c r="B21" s="24"/>
    </row>
    <row r="22" spans="1:2" x14ac:dyDescent="0.3">
      <c r="A22" s="23" t="s">
        <v>192</v>
      </c>
      <c r="B22" s="24"/>
    </row>
    <row r="23" spans="1:2" x14ac:dyDescent="0.3">
      <c r="A23" s="23" t="s">
        <v>128</v>
      </c>
      <c r="B23" s="24"/>
    </row>
    <row r="24" spans="1:2" x14ac:dyDescent="0.3">
      <c r="A24" s="23" t="s">
        <v>131</v>
      </c>
      <c r="B24" s="24"/>
    </row>
    <row r="25" spans="1:2" x14ac:dyDescent="0.3">
      <c r="A25" s="23" t="s">
        <v>134</v>
      </c>
      <c r="B25" s="24"/>
    </row>
    <row r="26" spans="1:2" x14ac:dyDescent="0.3">
      <c r="A26" s="23" t="s">
        <v>193</v>
      </c>
      <c r="B26" s="24"/>
    </row>
    <row r="27" spans="1:2" x14ac:dyDescent="0.3">
      <c r="A27" s="23" t="s">
        <v>194</v>
      </c>
      <c r="B27" s="24"/>
    </row>
    <row r="28" spans="1:2" x14ac:dyDescent="0.3">
      <c r="A28" s="23" t="s">
        <v>195</v>
      </c>
      <c r="B28" s="24"/>
    </row>
    <row r="29" spans="1:2" x14ac:dyDescent="0.3">
      <c r="A29" s="23" t="s">
        <v>196</v>
      </c>
      <c r="B29" s="24"/>
    </row>
    <row r="30" spans="1:2" x14ac:dyDescent="0.3">
      <c r="A30" s="23" t="s">
        <v>197</v>
      </c>
      <c r="B30" s="24"/>
    </row>
    <row r="31" spans="1:2" x14ac:dyDescent="0.3">
      <c r="A31" s="23" t="s">
        <v>198</v>
      </c>
      <c r="B31" s="24"/>
    </row>
    <row r="32" spans="1:2" x14ac:dyDescent="0.3">
      <c r="A32" s="23" t="s">
        <v>146</v>
      </c>
      <c r="B32" s="24"/>
    </row>
    <row r="33" spans="1:2" x14ac:dyDescent="0.3">
      <c r="A33" s="23" t="s">
        <v>199</v>
      </c>
      <c r="B33" s="24"/>
    </row>
    <row r="34" spans="1:2" x14ac:dyDescent="0.3">
      <c r="A34" s="23" t="s">
        <v>200</v>
      </c>
      <c r="B34" s="2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3" r:id="rId3" name="Button 7">
              <controlPr defaultSize="0" print="0" autoFill="0" autoPict="0" macro="[0]!GerarPDFSelecionadas">
                <anchor moveWithCells="1" sizeWithCells="1">
                  <from>
                    <xdr:col>4</xdr:col>
                    <xdr:colOff>15240</xdr:colOff>
                    <xdr:row>2</xdr:row>
                    <xdr:rowOff>160020</xdr:rowOff>
                  </from>
                  <to>
                    <xdr:col>5</xdr:col>
                    <xdr:colOff>594360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X1000"/>
  <sheetViews>
    <sheetView showGridLines="0" topLeftCell="A8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33" t="s">
        <v>164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5"/>
    </row>
    <row r="9" spans="1:24" ht="15" customHeight="1" x14ac:dyDescent="0.3">
      <c r="A9" s="36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36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36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36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36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36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3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36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3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36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36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X1000"/>
  <sheetViews>
    <sheetView showGridLines="0" topLeftCell="A3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48" t="s">
        <v>165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5"/>
    </row>
    <row r="9" spans="1:24" ht="15" customHeight="1" x14ac:dyDescent="0.3">
      <c r="A9" s="36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36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36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36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36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36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3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36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3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36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36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X1000"/>
  <sheetViews>
    <sheetView showGridLines="0" zoomScale="88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33" t="s">
        <v>27</v>
      </c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5"/>
    </row>
    <row r="9" spans="1:24" ht="15" customHeight="1" x14ac:dyDescent="0.3">
      <c r="A9" s="36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36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36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36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36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36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3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36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3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36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36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X1000"/>
  <sheetViews>
    <sheetView showGridLines="0" workbookViewId="0">
      <selection activeCell="A10" sqref="A10:X47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28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50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36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36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36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36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3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36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3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36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36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X1000"/>
  <sheetViews>
    <sheetView showGridLines="0" topLeftCell="AB1" zoomScale="68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28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51" t="s">
        <v>29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36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36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36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36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36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36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3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36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3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36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36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pageSetUpPr fitToPage="1"/>
  </sheetPr>
  <dimension ref="A1:AW1000"/>
  <sheetViews>
    <sheetView showGridLines="0" topLeftCell="A3" zoomScale="66" workbookViewId="0"/>
  </sheetViews>
  <sheetFormatPr defaultColWidth="14.44140625" defaultRowHeight="15" customHeight="1" x14ac:dyDescent="0.3"/>
  <cols>
    <col min="1" max="12" width="3.88671875" customWidth="1"/>
    <col min="13" max="13" width="3.109375" customWidth="1"/>
    <col min="14" max="14" width="0.44140625" hidden="1" customWidth="1"/>
    <col min="15" max="15" width="3.88671875" hidden="1" customWidth="1"/>
    <col min="16" max="24" width="3.88671875" customWidth="1"/>
    <col min="25" max="25" width="1.44140625" customWidth="1"/>
    <col min="26" max="37" width="3.88671875" customWidth="1"/>
    <col min="38" max="38" width="3.109375" customWidth="1"/>
    <col min="39" max="40" width="0" hidden="1" customWidth="1"/>
    <col min="41" max="49" width="3.88671875" customWidth="1"/>
  </cols>
  <sheetData>
    <row r="1" spans="1:49" ht="15.75" customHeight="1" x14ac:dyDescent="0.3">
      <c r="A1" s="15"/>
      <c r="B1" s="16"/>
      <c r="C1" s="16"/>
      <c r="D1" s="16"/>
      <c r="E1" s="16"/>
      <c r="F1" s="16"/>
      <c r="G1" s="42" t="s">
        <v>30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  <c r="Y1" s="17"/>
      <c r="Z1" s="15"/>
      <c r="AA1" s="16"/>
      <c r="AB1" s="16"/>
      <c r="AC1" s="16"/>
      <c r="AD1" s="16"/>
      <c r="AE1" s="16"/>
      <c r="AF1" s="42" t="s">
        <v>30</v>
      </c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5"/>
    </row>
    <row r="2" spans="1:49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  <c r="Y2" s="17"/>
      <c r="Z2" s="14"/>
      <c r="AA2" s="17"/>
      <c r="AB2" s="17"/>
      <c r="AC2" s="17"/>
      <c r="AD2" s="17"/>
      <c r="AE2" s="17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7"/>
    </row>
    <row r="3" spans="1:49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  <c r="Y3" s="17"/>
      <c r="Z3" s="14"/>
      <c r="AA3" s="17"/>
      <c r="AB3" s="17"/>
      <c r="AC3" s="17"/>
      <c r="AD3" s="17"/>
      <c r="AE3" s="17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7"/>
    </row>
    <row r="4" spans="1:49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  <c r="Y4" s="17"/>
      <c r="Z4" s="14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8"/>
    </row>
    <row r="5" spans="1:49" ht="24" customHeight="1" x14ac:dyDescent="0.3">
      <c r="A5" s="59" t="s">
        <v>31</v>
      </c>
      <c r="B5" s="32"/>
      <c r="C5" s="32"/>
      <c r="D5" s="32"/>
      <c r="E5" s="32"/>
      <c r="F5" s="32"/>
      <c r="G5" s="32"/>
      <c r="H5" s="32"/>
      <c r="I5" s="32"/>
      <c r="J5" s="32"/>
      <c r="K5" s="17"/>
      <c r="L5" s="17"/>
      <c r="M5" s="17"/>
      <c r="N5" s="17"/>
      <c r="O5" s="17"/>
      <c r="P5" s="17"/>
      <c r="Q5" s="63" t="s">
        <v>32</v>
      </c>
      <c r="R5" s="32"/>
      <c r="S5" s="32"/>
      <c r="T5" s="32"/>
      <c r="U5" s="32"/>
      <c r="V5" s="32"/>
      <c r="W5" s="32"/>
      <c r="X5" s="37"/>
      <c r="Y5" s="17"/>
      <c r="Z5" s="59" t="s">
        <v>31</v>
      </c>
      <c r="AA5" s="32"/>
      <c r="AB5" s="32"/>
      <c r="AC5" s="32"/>
      <c r="AD5" s="32"/>
      <c r="AE5" s="32"/>
      <c r="AF5" s="32"/>
      <c r="AG5" s="32"/>
      <c r="AH5" s="32"/>
      <c r="AI5" s="32"/>
      <c r="AJ5" s="17"/>
      <c r="AK5" s="17"/>
      <c r="AL5" s="17"/>
      <c r="AM5" s="17"/>
      <c r="AN5" s="17"/>
      <c r="AO5" s="17"/>
      <c r="AP5" s="63" t="s">
        <v>32</v>
      </c>
      <c r="AQ5" s="32"/>
      <c r="AR5" s="32"/>
      <c r="AS5" s="32"/>
      <c r="AT5" s="32"/>
      <c r="AU5" s="32"/>
      <c r="AV5" s="32"/>
      <c r="AW5" s="37"/>
    </row>
    <row r="6" spans="1:49" ht="14.25" customHeight="1" x14ac:dyDescent="0.3">
      <c r="A6" s="54" t="s">
        <v>33</v>
      </c>
      <c r="B6" s="32"/>
      <c r="C6" s="32"/>
      <c r="D6" s="32"/>
      <c r="E6" s="32"/>
      <c r="F6" s="53" t="str">
        <f>IF(Cadastro!$C$19="","",Cadastro!$C$19)</f>
        <v/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7"/>
      <c r="Y6" s="17"/>
      <c r="Z6" s="54" t="s">
        <v>33</v>
      </c>
      <c r="AA6" s="32"/>
      <c r="AB6" s="32"/>
      <c r="AC6" s="32"/>
      <c r="AD6" s="32"/>
      <c r="AE6" s="53" t="str">
        <f>IF(Cadastro!$C$19="","",Cadastro!$C$19)</f>
        <v/>
      </c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7"/>
    </row>
    <row r="7" spans="1:49" ht="14.25" customHeight="1" x14ac:dyDescent="0.3">
      <c r="A7" s="14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8"/>
      <c r="Y7" s="17"/>
      <c r="Z7" s="14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8"/>
    </row>
    <row r="8" spans="1:49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  <c r="Y8" s="17"/>
      <c r="Z8" s="14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8"/>
    </row>
    <row r="9" spans="1:49" ht="14.25" customHeight="1" x14ac:dyDescent="0.3">
      <c r="A9" s="54" t="s">
        <v>16</v>
      </c>
      <c r="B9" s="32"/>
      <c r="C9" s="32"/>
      <c r="D9" s="53" t="str">
        <f>IF(Cadastro!$C$20="","",Cadastro!$C$20)</f>
        <v/>
      </c>
      <c r="E9" s="32"/>
      <c r="F9" s="32"/>
      <c r="G9" s="52" t="s">
        <v>34</v>
      </c>
      <c r="H9" s="32"/>
      <c r="I9" s="53" t="str">
        <f>IF(Cadastro!$C$21="","",Cadastro!$C$21)</f>
        <v/>
      </c>
      <c r="J9" s="32"/>
      <c r="K9" s="32"/>
      <c r="L9" s="52" t="s">
        <v>35</v>
      </c>
      <c r="M9" s="32"/>
      <c r="N9" s="53" t="str">
        <f>IF(Cadastro!$C$22="","",Cadastro!$C$22)</f>
        <v/>
      </c>
      <c r="O9" s="32"/>
      <c r="P9" s="32"/>
      <c r="Q9" s="32"/>
      <c r="R9" s="32"/>
      <c r="S9" s="32"/>
      <c r="T9" s="32"/>
      <c r="U9" s="32"/>
      <c r="V9" s="32"/>
      <c r="W9" s="32"/>
      <c r="X9" s="37"/>
      <c r="Y9" s="17"/>
      <c r="Z9" s="54" t="s">
        <v>16</v>
      </c>
      <c r="AA9" s="32"/>
      <c r="AB9" s="32"/>
      <c r="AC9" s="53" t="str">
        <f>IF(Cadastro!$C$20="","",Cadastro!$C$20)</f>
        <v/>
      </c>
      <c r="AD9" s="32"/>
      <c r="AE9" s="32"/>
      <c r="AF9" s="52" t="s">
        <v>34</v>
      </c>
      <c r="AG9" s="32"/>
      <c r="AH9" s="53" t="str">
        <f>IF(Cadastro!$C$21="","",Cadastro!$C$21)</f>
        <v/>
      </c>
      <c r="AI9" s="32"/>
      <c r="AJ9" s="32"/>
      <c r="AK9" s="52" t="s">
        <v>35</v>
      </c>
      <c r="AL9" s="32"/>
      <c r="AM9" s="53" t="str">
        <f>IF(Cadastro!$C$22="","",Cadastro!$C$22)</f>
        <v/>
      </c>
      <c r="AN9" s="32"/>
      <c r="AO9" s="32"/>
      <c r="AP9" s="32"/>
      <c r="AQ9" s="32"/>
      <c r="AR9" s="32"/>
      <c r="AS9" s="32"/>
      <c r="AT9" s="32"/>
      <c r="AU9" s="32"/>
      <c r="AV9" s="32"/>
      <c r="AW9" s="37"/>
    </row>
    <row r="10" spans="1:49" ht="14.25" customHeight="1" x14ac:dyDescent="0.3">
      <c r="A10" s="55" t="s">
        <v>36</v>
      </c>
      <c r="B10" s="32"/>
      <c r="C10" s="32"/>
      <c r="D10" s="32"/>
      <c r="E10" s="32"/>
      <c r="F10" s="32"/>
      <c r="G10" s="56" t="str">
        <f>IF(Cadastro!$C$23="","",Cadastro!$C$23)</f>
        <v/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  <c r="Y10" s="17"/>
      <c r="Z10" s="55" t="s">
        <v>36</v>
      </c>
      <c r="AA10" s="32"/>
      <c r="AB10" s="32"/>
      <c r="AC10" s="32"/>
      <c r="AD10" s="32"/>
      <c r="AE10" s="32"/>
      <c r="AF10" s="56" t="str">
        <f>IF(Cadastro!$C$23="","",Cadastro!$C$23)</f>
        <v/>
      </c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7"/>
    </row>
    <row r="11" spans="1:49" ht="14.25" customHeight="1" x14ac:dyDescent="0.3">
      <c r="A11" s="54" t="s">
        <v>20</v>
      </c>
      <c r="B11" s="32"/>
      <c r="C11" s="32"/>
      <c r="D11" s="53" t="str">
        <f>IF(Cadastro!$C$24="","",Cadastro!$C$24)</f>
        <v/>
      </c>
      <c r="E11" s="32"/>
      <c r="F11" s="32"/>
      <c r="G11" s="32"/>
      <c r="H11" s="32"/>
      <c r="I11" s="32"/>
      <c r="J11" s="32"/>
      <c r="K11" s="32"/>
      <c r="L11" s="52" t="s">
        <v>34</v>
      </c>
      <c r="M11" s="32"/>
      <c r="N11" s="53" t="str">
        <f>IF(Cadastro!$C$25="","",Cadastro!$C$25)</f>
        <v/>
      </c>
      <c r="O11" s="32"/>
      <c r="P11" s="32"/>
      <c r="Q11" s="32"/>
      <c r="R11" s="32"/>
      <c r="S11" s="32"/>
      <c r="T11" s="32"/>
      <c r="U11" s="32"/>
      <c r="V11" s="32"/>
      <c r="W11" s="32"/>
      <c r="X11" s="37"/>
      <c r="Y11" s="17"/>
      <c r="Z11" s="54" t="s">
        <v>20</v>
      </c>
      <c r="AA11" s="32"/>
      <c r="AB11" s="32"/>
      <c r="AC11" s="53" t="str">
        <f>IF(Cadastro!$C$24="","",Cadastro!$C$24)</f>
        <v/>
      </c>
      <c r="AD11" s="32"/>
      <c r="AE11" s="32"/>
      <c r="AF11" s="32"/>
      <c r="AG11" s="32"/>
      <c r="AH11" s="32"/>
      <c r="AI11" s="32"/>
      <c r="AJ11" s="32"/>
      <c r="AK11" s="52" t="s">
        <v>34</v>
      </c>
      <c r="AL11" s="32"/>
      <c r="AM11" s="53" t="str">
        <f>IF(Cadastro!$C$25="","",Cadastro!$C$25)</f>
        <v/>
      </c>
      <c r="AN11" s="32"/>
      <c r="AO11" s="32"/>
      <c r="AP11" s="32"/>
      <c r="AQ11" s="32"/>
      <c r="AR11" s="32"/>
      <c r="AS11" s="32"/>
      <c r="AT11" s="32"/>
      <c r="AU11" s="32"/>
      <c r="AV11" s="32"/>
      <c r="AW11" s="37"/>
    </row>
    <row r="12" spans="1:49" ht="14.25" customHeight="1" x14ac:dyDescent="0.3">
      <c r="A12" s="14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8"/>
      <c r="Y12" s="17"/>
      <c r="Z12" s="14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8"/>
    </row>
    <row r="13" spans="1:49" ht="14.25" customHeight="1" x14ac:dyDescent="0.3">
      <c r="A13" s="14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8"/>
      <c r="Y13" s="17"/>
      <c r="Z13" s="14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8"/>
    </row>
    <row r="14" spans="1:49" ht="14.25" customHeight="1" x14ac:dyDescent="0.3">
      <c r="A14" s="54" t="s">
        <v>37</v>
      </c>
      <c r="B14" s="32"/>
      <c r="C14" s="32"/>
      <c r="D14" s="32"/>
      <c r="E14" s="32"/>
      <c r="F14" s="53" t="str">
        <f>IF(Cadastro!$C$7="","",Cadastro!$C$7)</f>
        <v/>
      </c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  <c r="Y14" s="17"/>
      <c r="Z14" s="54" t="s">
        <v>37</v>
      </c>
      <c r="AA14" s="32"/>
      <c r="AB14" s="32"/>
      <c r="AC14" s="32"/>
      <c r="AD14" s="32"/>
      <c r="AE14" s="53" t="str">
        <f>IF(Cadastro!$C$7="","",Cadastro!$C$7)</f>
        <v/>
      </c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7"/>
    </row>
    <row r="15" spans="1:49" ht="14.25" customHeight="1" x14ac:dyDescent="0.3">
      <c r="A15" s="54" t="s">
        <v>38</v>
      </c>
      <c r="B15" s="32"/>
      <c r="C15" s="32"/>
      <c r="D15" s="32"/>
      <c r="E15" s="32"/>
      <c r="F15" s="53" t="str">
        <f>IF(Cadastro!$C$15="","",Cadastro!$C$15)</f>
        <v/>
      </c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  <c r="Y15" s="17"/>
      <c r="Z15" s="54" t="s">
        <v>38</v>
      </c>
      <c r="AA15" s="32"/>
      <c r="AB15" s="32"/>
      <c r="AC15" s="32"/>
      <c r="AD15" s="32"/>
      <c r="AE15" s="53" t="str">
        <f>IF(Cadastro!$C$15="","",Cadastro!$C$15)</f>
        <v/>
      </c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7"/>
    </row>
    <row r="16" spans="1:49" ht="14.25" customHeight="1" x14ac:dyDescent="0.3">
      <c r="A16" s="54" t="s">
        <v>39</v>
      </c>
      <c r="B16" s="32"/>
      <c r="C16" s="32"/>
      <c r="D16" s="32"/>
      <c r="E16" s="32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7"/>
      <c r="Z16" s="54" t="s">
        <v>39</v>
      </c>
      <c r="AA16" s="32"/>
      <c r="AB16" s="32"/>
      <c r="AC16" s="32"/>
      <c r="AD16" s="32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8"/>
    </row>
    <row r="17" spans="1:49" ht="15" customHeight="1" x14ac:dyDescent="0.3">
      <c r="A17" s="50" t="s">
        <v>163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  <c r="Y17" s="17"/>
      <c r="Z17" s="50" t="str">
        <f>IF(A17="","",A17)</f>
        <v xml:space="preserve">
USO ORAL
DULOXETINA 30MG -------------------------- 30 CP
TOMAR 1 COMPRIMIDO PELA MANHÃ. </v>
      </c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7"/>
    </row>
    <row r="18" spans="1:49" ht="15" customHeight="1" x14ac:dyDescent="0.3">
      <c r="A18" s="36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  <c r="Y18" s="17"/>
      <c r="Z18" s="36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7"/>
    </row>
    <row r="19" spans="1:49" ht="15" customHeight="1" x14ac:dyDescent="0.3">
      <c r="A19" s="36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  <c r="Y19" s="17"/>
      <c r="Z19" s="36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7"/>
    </row>
    <row r="20" spans="1:49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  <c r="Y20" s="17"/>
      <c r="Z20" s="36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7"/>
    </row>
    <row r="21" spans="1:49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  <c r="Y21" s="17"/>
      <c r="Z21" s="36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7"/>
    </row>
    <row r="22" spans="1:49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  <c r="Y22" s="17"/>
      <c r="Z22" s="36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7"/>
    </row>
    <row r="23" spans="1:49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  <c r="Y23" s="17"/>
      <c r="Z23" s="36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7"/>
    </row>
    <row r="24" spans="1:49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  <c r="Y24" s="17"/>
      <c r="Z24" s="36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7"/>
    </row>
    <row r="25" spans="1:49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  <c r="Y25" s="17"/>
      <c r="Z25" s="36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7"/>
    </row>
    <row r="26" spans="1:49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  <c r="Y26" s="17"/>
      <c r="Z26" s="36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7"/>
    </row>
    <row r="27" spans="1:49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  <c r="Y27" s="17"/>
      <c r="Z27" s="36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7"/>
    </row>
    <row r="28" spans="1:49" ht="15" customHeight="1" x14ac:dyDescent="0.3">
      <c r="A28" s="36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  <c r="Y28" s="17"/>
      <c r="Z28" s="36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7"/>
    </row>
    <row r="29" spans="1:49" ht="15" customHeight="1" x14ac:dyDescent="0.3">
      <c r="A29" s="36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  <c r="Y29" s="17"/>
      <c r="Z29" s="36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7"/>
    </row>
    <row r="30" spans="1:49" ht="15" customHeight="1" x14ac:dyDescent="0.3">
      <c r="A30" s="36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  <c r="Y30" s="17"/>
      <c r="Z30" s="36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7"/>
    </row>
    <row r="31" spans="1:49" ht="15" customHeight="1" x14ac:dyDescent="0.3">
      <c r="A31" s="36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  <c r="Y31" s="17"/>
      <c r="Z31" s="36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7"/>
    </row>
    <row r="32" spans="1:49" ht="15" customHeight="1" x14ac:dyDescent="0.3">
      <c r="A32" s="36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  <c r="Y32" s="17"/>
      <c r="Z32" s="36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7"/>
    </row>
    <row r="33" spans="1:49" ht="15" customHeight="1" x14ac:dyDescent="0.3">
      <c r="A33" s="36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  <c r="Y33" s="17"/>
      <c r="Z33" s="36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7"/>
    </row>
    <row r="34" spans="1:49" ht="15" customHeight="1" x14ac:dyDescent="0.3">
      <c r="A34" s="36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  <c r="Y34" s="17"/>
      <c r="Z34" s="36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7"/>
    </row>
    <row r="35" spans="1:49" ht="14.25" customHeight="1" x14ac:dyDescent="0.3">
      <c r="A35" s="36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  <c r="Y35" s="17"/>
      <c r="Z35" s="36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7"/>
    </row>
    <row r="36" spans="1:49" ht="14.25" customHeight="1" x14ac:dyDescent="0.3">
      <c r="A36" s="36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  <c r="Y36" s="17"/>
      <c r="Z36" s="36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7"/>
    </row>
    <row r="37" spans="1:49" ht="14.25" customHeight="1" x14ac:dyDescent="0.3">
      <c r="A37" s="59" t="s">
        <v>40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17"/>
      <c r="M37" s="17"/>
      <c r="N37" s="17"/>
      <c r="O37" s="17"/>
      <c r="P37" s="60" t="s">
        <v>41</v>
      </c>
      <c r="Q37" s="32"/>
      <c r="R37" s="32"/>
      <c r="S37" s="32"/>
      <c r="T37" s="32"/>
      <c r="U37" s="32"/>
      <c r="V37" s="32"/>
      <c r="W37" s="32"/>
      <c r="X37" s="37"/>
      <c r="Y37" s="17"/>
      <c r="Z37" s="59" t="s">
        <v>40</v>
      </c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17"/>
      <c r="AL37" s="17"/>
      <c r="AM37" s="17"/>
      <c r="AN37" s="17"/>
      <c r="AO37" s="60" t="s">
        <v>41</v>
      </c>
      <c r="AP37" s="32"/>
      <c r="AQ37" s="32"/>
      <c r="AR37" s="32"/>
      <c r="AS37" s="32"/>
      <c r="AT37" s="32"/>
      <c r="AU37" s="32"/>
      <c r="AV37" s="32"/>
      <c r="AW37" s="37"/>
    </row>
    <row r="38" spans="1:49" ht="14.25" customHeight="1" x14ac:dyDescent="0.3">
      <c r="A38" s="57" t="s">
        <v>42</v>
      </c>
      <c r="B38" s="32"/>
      <c r="C38" s="32"/>
      <c r="D38" s="32"/>
      <c r="E38" s="56"/>
      <c r="F38" s="32"/>
      <c r="G38" s="32"/>
      <c r="H38" s="32"/>
      <c r="I38" s="32"/>
      <c r="J38" s="32"/>
      <c r="K38" s="32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8"/>
      <c r="Y38" s="17"/>
      <c r="Z38" s="57" t="s">
        <v>42</v>
      </c>
      <c r="AA38" s="32"/>
      <c r="AB38" s="32"/>
      <c r="AC38" s="32"/>
      <c r="AD38" s="56"/>
      <c r="AE38" s="32"/>
      <c r="AF38" s="32"/>
      <c r="AG38" s="32"/>
      <c r="AH38" s="32"/>
      <c r="AI38" s="32"/>
      <c r="AJ38" s="32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8"/>
    </row>
    <row r="39" spans="1:49" ht="14.25" customHeight="1" x14ac:dyDescent="0.3">
      <c r="A39" s="57" t="s">
        <v>43</v>
      </c>
      <c r="B39" s="32"/>
      <c r="C39" s="32"/>
      <c r="D39" s="32"/>
      <c r="E39" s="56"/>
      <c r="F39" s="32"/>
      <c r="G39" s="32"/>
      <c r="H39" s="32"/>
      <c r="I39" s="32"/>
      <c r="J39" s="32"/>
      <c r="K39" s="32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8"/>
      <c r="Y39" s="17"/>
      <c r="Z39" s="57" t="s">
        <v>43</v>
      </c>
      <c r="AA39" s="32"/>
      <c r="AB39" s="32"/>
      <c r="AC39" s="32"/>
      <c r="AD39" s="56"/>
      <c r="AE39" s="32"/>
      <c r="AF39" s="32"/>
      <c r="AG39" s="32"/>
      <c r="AH39" s="32"/>
      <c r="AI39" s="32"/>
      <c r="AJ39" s="32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8"/>
    </row>
    <row r="40" spans="1:49" ht="14.25" customHeight="1" x14ac:dyDescent="0.3">
      <c r="A40" s="57" t="s">
        <v>44</v>
      </c>
      <c r="B40" s="32"/>
      <c r="C40" s="32"/>
      <c r="D40" s="32"/>
      <c r="E40" s="56"/>
      <c r="F40" s="32"/>
      <c r="G40" s="32"/>
      <c r="H40" s="32"/>
      <c r="I40" s="32"/>
      <c r="J40" s="32"/>
      <c r="K40" s="32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8"/>
      <c r="Y40" s="17"/>
      <c r="Z40" s="57" t="s">
        <v>44</v>
      </c>
      <c r="AA40" s="32"/>
      <c r="AB40" s="32"/>
      <c r="AC40" s="32"/>
      <c r="AD40" s="56"/>
      <c r="AE40" s="32"/>
      <c r="AF40" s="32"/>
      <c r="AG40" s="32"/>
      <c r="AH40" s="32"/>
      <c r="AI40" s="32"/>
      <c r="AJ40" s="32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8"/>
    </row>
    <row r="41" spans="1:49" ht="14.25" customHeight="1" x14ac:dyDescent="0.3">
      <c r="A41" s="57" t="s">
        <v>45</v>
      </c>
      <c r="B41" s="32"/>
      <c r="C41" s="32"/>
      <c r="D41" s="32"/>
      <c r="E41" s="56"/>
      <c r="F41" s="32"/>
      <c r="G41" s="32"/>
      <c r="H41" s="32"/>
      <c r="I41" s="32"/>
      <c r="J41" s="32"/>
      <c r="K41" s="32"/>
      <c r="L41" s="17"/>
      <c r="M41" s="17"/>
      <c r="N41" s="17"/>
      <c r="O41" s="17"/>
      <c r="P41" s="62" t="s">
        <v>46</v>
      </c>
      <c r="Q41" s="32"/>
      <c r="R41" s="32"/>
      <c r="S41" s="32"/>
      <c r="T41" s="32"/>
      <c r="U41" s="32"/>
      <c r="V41" s="32"/>
      <c r="W41" s="32"/>
      <c r="X41" s="37"/>
      <c r="Y41" s="17"/>
      <c r="Z41" s="57" t="s">
        <v>45</v>
      </c>
      <c r="AA41" s="32"/>
      <c r="AB41" s="32"/>
      <c r="AC41" s="32"/>
      <c r="AD41" s="56"/>
      <c r="AE41" s="32"/>
      <c r="AF41" s="32"/>
      <c r="AG41" s="32"/>
      <c r="AH41" s="32"/>
      <c r="AI41" s="32"/>
      <c r="AJ41" s="32"/>
      <c r="AK41" s="17"/>
      <c r="AL41" s="17"/>
      <c r="AM41" s="17"/>
      <c r="AN41" s="17"/>
      <c r="AO41" s="62" t="s">
        <v>46</v>
      </c>
      <c r="AP41" s="32"/>
      <c r="AQ41" s="32"/>
      <c r="AR41" s="32"/>
      <c r="AS41" s="32"/>
      <c r="AT41" s="32"/>
      <c r="AU41" s="32"/>
      <c r="AV41" s="32"/>
      <c r="AW41" s="37"/>
    </row>
    <row r="42" spans="1:49" ht="14.25" customHeight="1" x14ac:dyDescent="0.3">
      <c r="A42" s="57" t="s">
        <v>47</v>
      </c>
      <c r="B42" s="32"/>
      <c r="C42" s="32"/>
      <c r="D42" s="32"/>
      <c r="E42" s="56"/>
      <c r="F42" s="32"/>
      <c r="G42" s="32"/>
      <c r="H42" s="32"/>
      <c r="I42" s="32"/>
      <c r="J42" s="32"/>
      <c r="K42" s="32"/>
      <c r="L42" s="17"/>
      <c r="M42" s="17"/>
      <c r="N42" s="17"/>
      <c r="O42" s="17"/>
      <c r="P42" s="58" t="s">
        <v>48</v>
      </c>
      <c r="Q42" s="32"/>
      <c r="R42" s="32"/>
      <c r="S42" s="32"/>
      <c r="T42" s="32"/>
      <c r="U42" s="32"/>
      <c r="V42" s="32"/>
      <c r="W42" s="32"/>
      <c r="X42" s="37"/>
      <c r="Y42" s="17"/>
      <c r="Z42" s="57" t="s">
        <v>47</v>
      </c>
      <c r="AA42" s="32"/>
      <c r="AB42" s="32"/>
      <c r="AC42" s="32"/>
      <c r="AD42" s="56"/>
      <c r="AE42" s="32"/>
      <c r="AF42" s="32"/>
      <c r="AG42" s="32"/>
      <c r="AH42" s="32"/>
      <c r="AI42" s="32"/>
      <c r="AJ42" s="32"/>
      <c r="AK42" s="17"/>
      <c r="AL42" s="17"/>
      <c r="AM42" s="17"/>
      <c r="AN42" s="17"/>
      <c r="AO42" s="58" t="s">
        <v>48</v>
      </c>
      <c r="AP42" s="32"/>
      <c r="AQ42" s="32"/>
      <c r="AR42" s="32"/>
      <c r="AS42" s="32"/>
      <c r="AT42" s="32"/>
      <c r="AU42" s="32"/>
      <c r="AV42" s="32"/>
      <c r="AW42" s="37"/>
    </row>
    <row r="43" spans="1:49" ht="14.25" customHeight="1" x14ac:dyDescent="0.3">
      <c r="A43" s="14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61" t="s">
        <v>49</v>
      </c>
      <c r="Q43" s="32"/>
      <c r="R43" s="32"/>
      <c r="S43" s="32"/>
      <c r="T43" s="32"/>
      <c r="U43" s="32"/>
      <c r="V43" s="32"/>
      <c r="W43" s="32"/>
      <c r="X43" s="37"/>
      <c r="Y43" s="17"/>
      <c r="Z43" s="14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61" t="s">
        <v>49</v>
      </c>
      <c r="AP43" s="32"/>
      <c r="AQ43" s="32"/>
      <c r="AR43" s="32"/>
      <c r="AS43" s="32"/>
      <c r="AT43" s="32"/>
      <c r="AU43" s="32"/>
      <c r="AV43" s="32"/>
      <c r="AW43" s="37"/>
    </row>
    <row r="44" spans="1:49" ht="14.25" customHeight="1" x14ac:dyDescent="0.3">
      <c r="A44" s="14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8"/>
      <c r="Y44" s="17"/>
      <c r="Z44" s="14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8"/>
    </row>
    <row r="45" spans="1:49" ht="14.25" customHeight="1" x14ac:dyDescent="0.3">
      <c r="A45" s="38" t="s">
        <v>25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  <c r="Y45" s="17"/>
      <c r="Z45" s="38" t="s">
        <v>25</v>
      </c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7"/>
    </row>
    <row r="46" spans="1:49" ht="14.25" customHeight="1" x14ac:dyDescent="0.3">
      <c r="A46" s="39" t="s">
        <v>26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1"/>
      <c r="Y46" s="17"/>
      <c r="Z46" s="39" t="s">
        <v>26</v>
      </c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1"/>
    </row>
    <row r="47" spans="1:49" ht="14.25" customHeight="1" x14ac:dyDescent="0.3"/>
    <row r="48" spans="1:49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0">
    <mergeCell ref="Z45:AW45"/>
    <mergeCell ref="Z46:AW46"/>
    <mergeCell ref="AO41:AW41"/>
    <mergeCell ref="Z42:AC42"/>
    <mergeCell ref="AD42:AJ42"/>
    <mergeCell ref="AO42:AW42"/>
    <mergeCell ref="AO43:AW43"/>
    <mergeCell ref="Z39:AC39"/>
    <mergeCell ref="AD39:AJ39"/>
    <mergeCell ref="Z40:AC40"/>
    <mergeCell ref="AD40:AJ40"/>
    <mergeCell ref="Z41:AC41"/>
    <mergeCell ref="AD41:AJ41"/>
    <mergeCell ref="Z17:AW36"/>
    <mergeCell ref="Z37:AJ37"/>
    <mergeCell ref="AO37:AW37"/>
    <mergeCell ref="Z38:AC38"/>
    <mergeCell ref="AD38:AJ38"/>
    <mergeCell ref="Z14:AD14"/>
    <mergeCell ref="AE14:AW14"/>
    <mergeCell ref="Z15:AD15"/>
    <mergeCell ref="AE15:AW15"/>
    <mergeCell ref="Z16:AD16"/>
    <mergeCell ref="AM9:AW9"/>
    <mergeCell ref="Z10:AE10"/>
    <mergeCell ref="AF10:AW10"/>
    <mergeCell ref="Z11:AB11"/>
    <mergeCell ref="AC11:AJ11"/>
    <mergeCell ref="AK11:AL11"/>
    <mergeCell ref="AM11:AW11"/>
    <mergeCell ref="Z9:AB9"/>
    <mergeCell ref="AC9:AE9"/>
    <mergeCell ref="AF9:AG9"/>
    <mergeCell ref="AH9:AJ9"/>
    <mergeCell ref="AK9:AL9"/>
    <mergeCell ref="AF1:AW3"/>
    <mergeCell ref="Z5:AI5"/>
    <mergeCell ref="AP5:AW5"/>
    <mergeCell ref="Z6:AD6"/>
    <mergeCell ref="AE6:AW6"/>
    <mergeCell ref="G1:X3"/>
    <mergeCell ref="A5:J5"/>
    <mergeCell ref="Q5:X5"/>
    <mergeCell ref="A6:E6"/>
    <mergeCell ref="F6:X6"/>
    <mergeCell ref="P43:X43"/>
    <mergeCell ref="A45:X45"/>
    <mergeCell ref="A46:X46"/>
    <mergeCell ref="A39:D39"/>
    <mergeCell ref="E39:K39"/>
    <mergeCell ref="A40:D40"/>
    <mergeCell ref="E40:K40"/>
    <mergeCell ref="A41:D41"/>
    <mergeCell ref="E41:K41"/>
    <mergeCell ref="P41:X41"/>
    <mergeCell ref="F15:X15"/>
    <mergeCell ref="G10:X10"/>
    <mergeCell ref="A42:D42"/>
    <mergeCell ref="E42:K42"/>
    <mergeCell ref="P42:X42"/>
    <mergeCell ref="A15:E15"/>
    <mergeCell ref="A16:E16"/>
    <mergeCell ref="A17:X36"/>
    <mergeCell ref="A37:K37"/>
    <mergeCell ref="A38:D38"/>
    <mergeCell ref="E38:K38"/>
    <mergeCell ref="P37:X37"/>
    <mergeCell ref="L11:M11"/>
    <mergeCell ref="A14:E14"/>
    <mergeCell ref="L9:M9"/>
    <mergeCell ref="N9:X9"/>
    <mergeCell ref="N11:X11"/>
    <mergeCell ref="F14:X14"/>
    <mergeCell ref="A9:C9"/>
    <mergeCell ref="D9:F9"/>
    <mergeCell ref="G9:H9"/>
    <mergeCell ref="I9:K9"/>
    <mergeCell ref="A10:F10"/>
    <mergeCell ref="A11:C11"/>
    <mergeCell ref="D11:K11"/>
  </mergeCells>
  <printOptions horizontalCentered="1" verticalCentered="1"/>
  <pageMargins left="0.5" right="0.5" top="0.5" bottom="0.5" header="0" footer="0"/>
  <pageSetup paperSize="9" scale="76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X1000"/>
  <sheetViews>
    <sheetView showGridLines="0" topLeftCell="A24" workbookViewId="0">
      <selection activeCell="A44" sqref="A44:L44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8" t="s">
        <v>65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X1000"/>
  <sheetViews>
    <sheetView showGridLines="0" topLeftCell="A17" zoomScale="79" workbookViewId="0">
      <selection activeCell="L23" sqref="L23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5" t="s">
        <v>72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9"/>
    </row>
    <row r="10" spans="1:24" ht="15" customHeight="1" x14ac:dyDescent="0.3">
      <c r="A10" s="10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9"/>
    </row>
    <row r="11" spans="1:24" ht="15" customHeight="1" x14ac:dyDescent="0.3">
      <c r="A11" s="10" t="s">
        <v>73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9"/>
    </row>
    <row r="12" spans="1:24" ht="15" customHeight="1" x14ac:dyDescent="0.3">
      <c r="A12" s="10" t="s">
        <v>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9"/>
    </row>
    <row r="13" spans="1:24" ht="15" customHeight="1" x14ac:dyDescent="0.3">
      <c r="A13" s="10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9"/>
    </row>
    <row r="14" spans="1:24" ht="15" customHeight="1" x14ac:dyDescent="0.3">
      <c r="A14" s="10" t="s">
        <v>75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9"/>
    </row>
    <row r="15" spans="1:24" ht="15" customHeight="1" x14ac:dyDescent="0.3">
      <c r="A15" s="10" t="s">
        <v>76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9"/>
    </row>
    <row r="16" spans="1:24" ht="15" customHeight="1" x14ac:dyDescent="0.3">
      <c r="A16" s="10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9"/>
    </row>
    <row r="17" spans="1:24" ht="15" customHeight="1" x14ac:dyDescent="0.3">
      <c r="A17" s="10" t="s">
        <v>77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9"/>
    </row>
    <row r="18" spans="1:24" ht="15" customHeight="1" x14ac:dyDescent="0.3">
      <c r="A18" s="10" t="s">
        <v>78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9"/>
    </row>
    <row r="19" spans="1:24" ht="15" customHeight="1" x14ac:dyDescent="0.3">
      <c r="A19" s="10" t="s">
        <v>79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9"/>
    </row>
    <row r="20" spans="1:24" ht="15" customHeight="1" x14ac:dyDescent="0.3">
      <c r="A20" s="10" t="s">
        <v>80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9"/>
    </row>
    <row r="21" spans="1:24" ht="15" customHeight="1" x14ac:dyDescent="0.3">
      <c r="A21" s="10" t="s">
        <v>81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9"/>
    </row>
    <row r="22" spans="1:24" ht="15" customHeight="1" x14ac:dyDescent="0.3">
      <c r="A22" s="10" t="s">
        <v>82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9"/>
    </row>
    <row r="23" spans="1:24" ht="15" customHeight="1" x14ac:dyDescent="0.3">
      <c r="A23" s="5" t="s">
        <v>83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9"/>
    </row>
    <row r="24" spans="1:24" ht="15" customHeight="1" x14ac:dyDescent="0.3">
      <c r="A24" s="5" t="s">
        <v>84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9"/>
    </row>
    <row r="25" spans="1:24" ht="15" customHeight="1" x14ac:dyDescent="0.3">
      <c r="A25" s="10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9"/>
    </row>
    <row r="26" spans="1:24" ht="15" customHeight="1" x14ac:dyDescent="0.3">
      <c r="A26" s="10" t="s">
        <v>85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9"/>
    </row>
    <row r="27" spans="1:24" ht="15" customHeight="1" x14ac:dyDescent="0.3">
      <c r="A27" s="10" t="s">
        <v>86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9"/>
    </row>
    <row r="28" spans="1:24" ht="15" customHeight="1" x14ac:dyDescent="0.3">
      <c r="A28" s="10" t="s">
        <v>87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9"/>
    </row>
    <row r="29" spans="1:24" ht="15" customHeight="1" x14ac:dyDescent="0.3">
      <c r="A29" s="10" t="s">
        <v>88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9"/>
    </row>
    <row r="30" spans="1:24" ht="15" customHeight="1" x14ac:dyDescent="0.3">
      <c r="A30" s="10" t="s">
        <v>89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9"/>
    </row>
    <row r="31" spans="1:24" ht="15" customHeight="1" x14ac:dyDescent="0.3">
      <c r="A31" s="10" t="s">
        <v>90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9"/>
    </row>
    <row r="32" spans="1:24" ht="15" customHeight="1" x14ac:dyDescent="0.3">
      <c r="A32" s="10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9"/>
    </row>
    <row r="33" spans="1:24" ht="15" customHeight="1" x14ac:dyDescent="0.3">
      <c r="A33" s="10" t="s">
        <v>91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9"/>
    </row>
    <row r="34" spans="1:24" ht="15" customHeight="1" x14ac:dyDescent="0.3">
      <c r="A34" s="10" t="s">
        <v>92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9"/>
    </row>
    <row r="35" spans="1:24" ht="15" customHeight="1" x14ac:dyDescent="0.3">
      <c r="A35" s="10" t="s">
        <v>93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9"/>
    </row>
    <row r="36" spans="1:24" ht="15" customHeight="1" x14ac:dyDescent="0.3">
      <c r="A36" s="10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9"/>
    </row>
    <row r="37" spans="1:24" ht="15" customHeight="1" x14ac:dyDescent="0.3">
      <c r="A37" s="10" t="s">
        <v>94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9"/>
    </row>
    <row r="38" spans="1:24" ht="15" customHeight="1" x14ac:dyDescent="0.3">
      <c r="A38" s="10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9"/>
    </row>
    <row r="39" spans="1:24" ht="15" customHeight="1" x14ac:dyDescent="0.3">
      <c r="A39" s="10" t="s">
        <v>95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9"/>
    </row>
    <row r="40" spans="1:24" ht="15" customHeight="1" x14ac:dyDescent="0.3">
      <c r="A40" s="10" t="s">
        <v>96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9"/>
    </row>
    <row r="41" spans="1:24" ht="15" customHeight="1" x14ac:dyDescent="0.3">
      <c r="A41" s="5" t="s">
        <v>97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9"/>
    </row>
    <row r="42" spans="1:24" ht="15" customHeight="1" x14ac:dyDescent="0.3">
      <c r="A42" s="75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75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75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75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75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75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5" customHeight="1" x14ac:dyDescent="0.3">
      <c r="A48" s="75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8" t="s">
        <v>25</v>
      </c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7"/>
    </row>
    <row r="50" spans="1:24" ht="14.25" customHeight="1" x14ac:dyDescent="0.3">
      <c r="A50" s="39" t="s">
        <v>26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1"/>
    </row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4">
    <mergeCell ref="A49:X49"/>
    <mergeCell ref="A50:X50"/>
    <mergeCell ref="G1:X4"/>
    <mergeCell ref="A6:D6"/>
    <mergeCell ref="E6:X6"/>
    <mergeCell ref="A7:D7"/>
    <mergeCell ref="E7:X7"/>
    <mergeCell ref="A42:X42"/>
    <mergeCell ref="A43:X43"/>
    <mergeCell ref="A44:X44"/>
    <mergeCell ref="A45:X45"/>
    <mergeCell ref="A46:X46"/>
    <mergeCell ref="A47:X47"/>
    <mergeCell ref="A48:X48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11"/>
  <dimension ref="A1:X1000"/>
  <sheetViews>
    <sheetView showGridLines="0" workbookViewId="0">
      <selection activeCell="Z22" sqref="Z22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149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75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5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75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75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75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11" t="s">
        <v>150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9"/>
    </row>
    <row r="23" spans="1:24" ht="15" customHeight="1" x14ac:dyDescent="0.3">
      <c r="A23" s="11" t="s">
        <v>151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9"/>
    </row>
    <row r="24" spans="1:24" ht="15" customHeight="1" x14ac:dyDescent="0.3">
      <c r="A24" s="11" t="s">
        <v>152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9"/>
    </row>
    <row r="25" spans="1:24" ht="15" customHeight="1" x14ac:dyDescent="0.3">
      <c r="A25" s="11" t="s">
        <v>153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9"/>
    </row>
    <row r="26" spans="1:24" ht="15" customHeight="1" x14ac:dyDescent="0.3">
      <c r="A26" s="11" t="s">
        <v>154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9"/>
    </row>
    <row r="27" spans="1:24" ht="15" customHeight="1" x14ac:dyDescent="0.3">
      <c r="A27" s="11" t="s">
        <v>155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9"/>
    </row>
    <row r="28" spans="1:24" ht="15" customHeight="1" x14ac:dyDescent="0.3">
      <c r="A28" s="11" t="s">
        <v>156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9"/>
    </row>
    <row r="29" spans="1:24" ht="15" customHeight="1" x14ac:dyDescent="0.3">
      <c r="A29" s="11" t="s">
        <v>157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9"/>
    </row>
    <row r="30" spans="1:24" ht="15" customHeight="1" x14ac:dyDescent="0.3">
      <c r="A30" s="11" t="s">
        <v>158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9"/>
    </row>
    <row r="31" spans="1:24" ht="15" customHeight="1" x14ac:dyDescent="0.3">
      <c r="A31" s="11" t="s">
        <v>159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9"/>
    </row>
    <row r="32" spans="1:24" ht="15" customHeight="1" x14ac:dyDescent="0.3">
      <c r="A32" s="11" t="s">
        <v>160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9"/>
    </row>
    <row r="33" spans="1:24" ht="15" customHeight="1" x14ac:dyDescent="0.3">
      <c r="A33" s="75" t="s">
        <v>161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11" t="s">
        <v>162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9"/>
    </row>
    <row r="35" spans="1:24" ht="15" customHeight="1" x14ac:dyDescent="0.3">
      <c r="A35" s="11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9"/>
    </row>
    <row r="36" spans="1:24" ht="15" customHeight="1" x14ac:dyDescent="0.3">
      <c r="A36" s="6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9"/>
    </row>
    <row r="37" spans="1:24" ht="15" customHeight="1" x14ac:dyDescent="0.3">
      <c r="A37" s="6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9"/>
    </row>
    <row r="38" spans="1:24" ht="15" customHeight="1" x14ac:dyDescent="0.3">
      <c r="A38" s="75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75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75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75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75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75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75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75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75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4.25" customHeight="1" x14ac:dyDescent="0.3">
      <c r="A47" s="38" t="s">
        <v>25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9" t="s">
        <v>26</v>
      </c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0">
    <mergeCell ref="A39:X39"/>
    <mergeCell ref="A47:X47"/>
    <mergeCell ref="A48:X48"/>
    <mergeCell ref="A40:X40"/>
    <mergeCell ref="A41:X41"/>
    <mergeCell ref="A42:X42"/>
    <mergeCell ref="A43:X43"/>
    <mergeCell ref="A44:X44"/>
    <mergeCell ref="A45:X45"/>
    <mergeCell ref="A46:X46"/>
    <mergeCell ref="A19:X19"/>
    <mergeCell ref="A20:X20"/>
    <mergeCell ref="A21:X21"/>
    <mergeCell ref="A33:X33"/>
    <mergeCell ref="A38:X38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2"/>
  <dimension ref="A1:X1000"/>
  <sheetViews>
    <sheetView showGridLines="0" topLeftCell="A26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148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75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5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75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75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75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5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75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75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75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75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75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75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75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75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75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75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75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75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75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75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75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75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75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75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75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A1:X1000"/>
  <sheetViews>
    <sheetView showGridLines="0" topLeftCell="A22" zoomScale="10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98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99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48" t="s">
        <v>100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4"/>
  <dimension ref="A1:X1000"/>
  <sheetViews>
    <sheetView showGridLines="0" topLeftCell="A25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102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103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48" t="s">
        <v>104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/>
  <dimension ref="A1:X1000"/>
  <sheetViews>
    <sheetView showGridLines="0" topLeftCell="A2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105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106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48" t="s">
        <v>107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6"/>
  <dimension ref="A1:X1000"/>
  <sheetViews>
    <sheetView showGridLines="0" topLeftCell="A1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108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109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12" t="s">
        <v>110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9"/>
    </row>
    <row r="36" spans="1:24" ht="15" customHeight="1" x14ac:dyDescent="0.3">
      <c r="A36" s="13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  <mergeCell ref="A38:X38"/>
    <mergeCell ref="A39:E39"/>
    <mergeCell ref="G39:K39"/>
    <mergeCell ref="M39:Q39"/>
    <mergeCell ref="R39:V39"/>
    <mergeCell ref="W39:X39"/>
    <mergeCell ref="A18:X18"/>
    <mergeCell ref="A19:X28"/>
    <mergeCell ref="A30:X30"/>
    <mergeCell ref="A31:X32"/>
    <mergeCell ref="A34:X34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/>
  <dimension ref="A1:X1000"/>
  <sheetViews>
    <sheetView showGridLines="0" topLeftCell="A22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111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109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12" t="s">
        <v>112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9"/>
    </row>
    <row r="36" spans="1:24" ht="15" customHeight="1" x14ac:dyDescent="0.3">
      <c r="A36" s="13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  <mergeCell ref="A38:X38"/>
    <mergeCell ref="A39:E39"/>
    <mergeCell ref="G39:K39"/>
    <mergeCell ref="M39:Q39"/>
    <mergeCell ref="R39:V39"/>
    <mergeCell ref="W39:X39"/>
    <mergeCell ref="A18:X18"/>
    <mergeCell ref="A19:X28"/>
    <mergeCell ref="A30:X30"/>
    <mergeCell ref="A31:X32"/>
    <mergeCell ref="A34:X34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8"/>
  <dimension ref="A1:X1000"/>
  <sheetViews>
    <sheetView showGridLines="0" topLeftCell="A26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 t="s">
        <v>113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114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115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9"/>
  <dimension ref="A1:X1000"/>
  <sheetViews>
    <sheetView showGridLines="0" topLeftCell="A27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 t="s">
        <v>113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114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116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0"/>
  <dimension ref="A1:X1000"/>
  <sheetViews>
    <sheetView showGridLines="0" topLeftCell="A26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 t="s">
        <v>117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 t="s">
        <v>118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119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120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 t="s">
        <v>121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1"/>
  <dimension ref="A1:X1000"/>
  <sheetViews>
    <sheetView showGridLines="0" topLeftCell="A23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 t="s">
        <v>117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119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122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22"/>
  <dimension ref="A1:X1000"/>
  <sheetViews>
    <sheetView showGridLines="0" topLeftCell="A22" workbookViewId="0">
      <selection activeCell="A27" sqref="A27:X27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 t="s">
        <v>123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124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125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X1000"/>
  <sheetViews>
    <sheetView showGridLines="0" topLeftCell="A27" zoomScale="105" workbookViewId="0">
      <selection activeCell="Z25" sqref="Z2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 t="s">
        <v>126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127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128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4"/>
  <dimension ref="A1:X1000"/>
  <sheetViews>
    <sheetView showGridLines="0" topLeftCell="A2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 t="s">
        <v>129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130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131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5"/>
  <dimension ref="A1:X1000"/>
  <sheetViews>
    <sheetView showGridLines="0" topLeftCell="A18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 t="s">
        <v>132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133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134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6"/>
  <dimension ref="A1:X1000"/>
  <sheetViews>
    <sheetView showGridLines="0" topLeftCell="A18" workbookViewId="0">
      <selection activeCell="A35" sqref="A35:X3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 t="s">
        <v>135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136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137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7"/>
  <dimension ref="A1:X1000"/>
  <sheetViews>
    <sheetView showGridLines="0" topLeftCell="A18" workbookViewId="0">
      <selection activeCell="A20" sqref="A20:X20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8" t="s">
        <v>203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138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139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8"/>
  <dimension ref="A1:X1000"/>
  <sheetViews>
    <sheetView showGridLines="0" topLeftCell="A14" workbookViewId="0">
      <selection activeCell="AA33" sqref="AA33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9" t="s">
        <v>204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140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141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 t="s">
        <v>121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9"/>
  <dimension ref="A1:X1000"/>
  <sheetViews>
    <sheetView showGridLines="0" topLeftCell="A14" workbookViewId="0">
      <selection activeCell="A15" sqref="A15:X1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142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0"/>
  <dimension ref="A1:X1000"/>
  <sheetViews>
    <sheetView showGridLines="0" topLeftCell="A25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76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75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76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57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76" t="s">
        <v>143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7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76" t="s">
        <v>144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7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31"/>
  <dimension ref="A1:X1000"/>
  <sheetViews>
    <sheetView showGridLines="0" topLeftCell="A29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28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7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72" t="s">
        <v>145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5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75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75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75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5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75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75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75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75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75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75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75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75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75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75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75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75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75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75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75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75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75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75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75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32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42" t="s">
        <v>22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5.75" customHeight="1" x14ac:dyDescent="0.3">
      <c r="A4" s="14"/>
      <c r="B4" s="17"/>
      <c r="C4" s="17"/>
      <c r="D4" s="17"/>
      <c r="E4" s="17"/>
      <c r="F4" s="17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7"/>
    </row>
    <row r="5" spans="1:24" ht="14.25" customHeight="1" x14ac:dyDescent="0.3">
      <c r="A5" s="14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8"/>
    </row>
    <row r="6" spans="1:24" ht="15.75" customHeight="1" x14ac:dyDescent="0.3">
      <c r="A6" s="43" t="s">
        <v>23</v>
      </c>
      <c r="B6" s="44"/>
      <c r="C6" s="44"/>
      <c r="D6" s="45"/>
      <c r="E6" s="46" t="str">
        <f>IF(Cadastro!$C$7="","",Cadastro!$C$7)</f>
        <v/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ht="15.75" customHeight="1" x14ac:dyDescent="0.3">
      <c r="A7" s="43" t="s">
        <v>24</v>
      </c>
      <c r="B7" s="44"/>
      <c r="C7" s="44"/>
      <c r="D7" s="45"/>
      <c r="E7" s="47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5"/>
    </row>
    <row r="8" spans="1:24" ht="14.25" customHeight="1" x14ac:dyDescent="0.3">
      <c r="A8" s="14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8"/>
    </row>
    <row r="9" spans="1:24" ht="15" customHeight="1" x14ac:dyDescent="0.3">
      <c r="A9" s="49" t="s">
        <v>28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7"/>
    </row>
    <row r="10" spans="1:24" ht="15" customHeight="1" x14ac:dyDescent="0.3">
      <c r="A10" s="7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7"/>
    </row>
    <row r="11" spans="1:24" ht="15" customHeight="1" x14ac:dyDescent="0.3">
      <c r="A11" s="72" t="s">
        <v>146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75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75" t="s">
        <v>147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75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75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75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7"/>
    </row>
    <row r="17" spans="1:24" ht="15" customHeight="1" x14ac:dyDescent="0.3">
      <c r="A17" s="75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7"/>
    </row>
    <row r="18" spans="1:24" ht="15" customHeight="1" x14ac:dyDescent="0.3">
      <c r="A18" s="75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7"/>
    </row>
    <row r="19" spans="1:24" ht="15" customHeight="1" x14ac:dyDescent="0.3">
      <c r="A19" s="75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7"/>
    </row>
    <row r="20" spans="1:24" ht="15" customHeight="1" x14ac:dyDescent="0.3">
      <c r="A20" s="75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75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75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75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75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7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75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7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75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7"/>
    </row>
    <row r="29" spans="1:24" ht="15" customHeight="1" x14ac:dyDescent="0.3">
      <c r="A29" s="75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7"/>
    </row>
    <row r="30" spans="1:24" ht="15" customHeight="1" x14ac:dyDescent="0.3">
      <c r="A30" s="75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7"/>
    </row>
    <row r="31" spans="1:24" ht="15" customHeight="1" x14ac:dyDescent="0.3">
      <c r="A31" s="75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7"/>
    </row>
    <row r="32" spans="1:24" ht="15" customHeight="1" x14ac:dyDescent="0.3">
      <c r="A32" s="75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7"/>
    </row>
    <row r="33" spans="1:24" ht="15" customHeight="1" x14ac:dyDescent="0.3">
      <c r="A33" s="75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7"/>
    </row>
    <row r="34" spans="1:24" ht="15" customHeight="1" x14ac:dyDescent="0.3">
      <c r="A34" s="75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7"/>
    </row>
    <row r="35" spans="1:24" ht="15" customHeight="1" x14ac:dyDescent="0.3">
      <c r="A35" s="75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7"/>
    </row>
    <row r="36" spans="1:24" ht="15" customHeight="1" x14ac:dyDescent="0.3">
      <c r="A36" s="75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7"/>
    </row>
    <row r="37" spans="1:24" ht="15" customHeight="1" x14ac:dyDescent="0.3">
      <c r="A37" s="75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7"/>
    </row>
    <row r="38" spans="1:24" ht="15" customHeight="1" x14ac:dyDescent="0.3">
      <c r="A38" s="75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7"/>
    </row>
    <row r="39" spans="1:24" ht="15" customHeight="1" x14ac:dyDescent="0.3">
      <c r="A39" s="75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7"/>
    </row>
    <row r="40" spans="1:24" ht="15" customHeight="1" x14ac:dyDescent="0.3">
      <c r="A40" s="75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7"/>
    </row>
    <row r="41" spans="1:24" ht="15" customHeight="1" x14ac:dyDescent="0.3">
      <c r="A41" s="75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7"/>
    </row>
    <row r="42" spans="1:24" ht="15" customHeight="1" x14ac:dyDescent="0.3">
      <c r="A42" s="75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" customHeight="1" x14ac:dyDescent="0.3">
      <c r="A43" s="75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5" customHeight="1" x14ac:dyDescent="0.3">
      <c r="A44" s="75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7"/>
    </row>
    <row r="45" spans="1:24" ht="15" customHeight="1" x14ac:dyDescent="0.3">
      <c r="A45" s="75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7"/>
    </row>
    <row r="46" spans="1:24" ht="15" customHeight="1" x14ac:dyDescent="0.3">
      <c r="A46" s="75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7"/>
    </row>
    <row r="47" spans="1:24" ht="15" customHeight="1" x14ac:dyDescent="0.3">
      <c r="A47" s="75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4.25" customHeight="1" x14ac:dyDescent="0.3">
      <c r="A48" s="38" t="s">
        <v>25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7"/>
    </row>
    <row r="49" spans="1:24" ht="14.25" customHeight="1" x14ac:dyDescent="0.3">
      <c r="A49" s="39" t="s">
        <v>26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1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F2DD5-4884-4435-B158-7CC0AFDA5D20}">
  <sheetPr codeName="Planilha33"/>
  <dimension ref="A1:X1000"/>
  <sheetViews>
    <sheetView showGridLines="0" topLeftCell="A21" zoomScale="101" workbookViewId="0">
      <selection activeCell="Y36" sqref="Y36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33" t="s">
        <v>166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48" t="s">
        <v>167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48" t="s">
        <v>168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  <mergeCell ref="A30:X30"/>
    <mergeCell ref="A31:X32"/>
    <mergeCell ref="A34:X34"/>
    <mergeCell ref="A35:X36"/>
    <mergeCell ref="A38:X38"/>
    <mergeCell ref="A39:E39"/>
    <mergeCell ref="G39:K39"/>
    <mergeCell ref="M39:Q39"/>
    <mergeCell ref="R39:V39"/>
    <mergeCell ref="W39:X39"/>
    <mergeCell ref="A19:X28"/>
    <mergeCell ref="A7:C7"/>
    <mergeCell ref="D7:E7"/>
    <mergeCell ref="F7:H7"/>
    <mergeCell ref="I7:J7"/>
    <mergeCell ref="K7:L7"/>
    <mergeCell ref="M7:P7"/>
    <mergeCell ref="Q7:U7"/>
    <mergeCell ref="V7:X7"/>
    <mergeCell ref="A9:X9"/>
    <mergeCell ref="A10:X16"/>
    <mergeCell ref="A18:X18"/>
    <mergeCell ref="A6:C6"/>
    <mergeCell ref="D6:P6"/>
    <mergeCell ref="Q6:S6"/>
    <mergeCell ref="T6:X6"/>
    <mergeCell ref="G1:X3"/>
    <mergeCell ref="A5:C5"/>
    <mergeCell ref="D5:P5"/>
    <mergeCell ref="Q5:S5"/>
    <mergeCell ref="T5:X5"/>
  </mergeCells>
  <printOptions horizontalCentered="1"/>
  <pageMargins left="0.5" right="0.5" top="0.5" bottom="0.5" header="0" footer="0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A417B-0CF6-4BA1-B725-BBC6FEF34E23}">
  <sheetPr codeName="Planilha34"/>
  <dimension ref="A1:X1000"/>
  <sheetViews>
    <sheetView showGridLines="0" tabSelected="1" topLeftCell="A20" zoomScale="101" workbookViewId="0">
      <selection activeCell="Y24" sqref="Y24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15"/>
      <c r="B1" s="16"/>
      <c r="C1" s="16"/>
      <c r="D1" s="16"/>
      <c r="E1" s="16"/>
      <c r="F1" s="16"/>
      <c r="G1" s="65" t="s">
        <v>50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5"/>
    </row>
    <row r="2" spans="1:24" ht="15.75" customHeight="1" x14ac:dyDescent="0.3">
      <c r="A2" s="14"/>
      <c r="B2" s="17"/>
      <c r="C2" s="17"/>
      <c r="D2" s="17"/>
      <c r="E2" s="17"/>
      <c r="F2" s="17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7"/>
    </row>
    <row r="3" spans="1:24" ht="15.75" customHeight="1" x14ac:dyDescent="0.3">
      <c r="A3" s="14"/>
      <c r="B3" s="17"/>
      <c r="C3" s="17"/>
      <c r="D3" s="17"/>
      <c r="E3" s="17"/>
      <c r="F3" s="17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7"/>
    </row>
    <row r="4" spans="1:24" ht="14.25" customHeight="1" x14ac:dyDescent="0.3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</row>
    <row r="5" spans="1:24" ht="15.75" customHeight="1" x14ac:dyDescent="0.3">
      <c r="A5" s="43" t="s">
        <v>23</v>
      </c>
      <c r="B5" s="44"/>
      <c r="C5" s="44"/>
      <c r="D5" s="64" t="str">
        <f>IF(Cadastro!$C$7="","",Cadastro!$C$7)</f>
        <v/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3" t="s">
        <v>51</v>
      </c>
      <c r="R5" s="44"/>
      <c r="S5" s="44"/>
      <c r="T5" s="64" t="str">
        <f>IF(Cadastro!$C$8="","",Cadastro!$C$8)</f>
        <v/>
      </c>
      <c r="U5" s="44"/>
      <c r="V5" s="44"/>
      <c r="W5" s="44"/>
      <c r="X5" s="45"/>
    </row>
    <row r="6" spans="1:24" ht="15.75" customHeight="1" x14ac:dyDescent="0.3">
      <c r="A6" s="43" t="s">
        <v>52</v>
      </c>
      <c r="B6" s="44"/>
      <c r="C6" s="44"/>
      <c r="D6" s="64" t="str">
        <f>IF(Cadastro!$C$9="","",Cadastro!$C$9)</f>
        <v/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3" t="s">
        <v>53</v>
      </c>
      <c r="R6" s="44"/>
      <c r="S6" s="44"/>
      <c r="T6" s="64" t="str">
        <f>IF(Cadastro!$C$10="","",Cadastro!$C$10)</f>
        <v/>
      </c>
      <c r="U6" s="44"/>
      <c r="V6" s="44"/>
      <c r="W6" s="44"/>
      <c r="X6" s="45"/>
    </row>
    <row r="7" spans="1:24" ht="15.75" customHeight="1" x14ac:dyDescent="0.3">
      <c r="A7" s="43" t="s">
        <v>54</v>
      </c>
      <c r="B7" s="44"/>
      <c r="C7" s="44"/>
      <c r="D7" s="64" t="str">
        <f>IF(Cadastro!$C$11="","",Cadastro!$C$11)</f>
        <v/>
      </c>
      <c r="E7" s="44"/>
      <c r="F7" s="43" t="s">
        <v>55</v>
      </c>
      <c r="G7" s="44"/>
      <c r="H7" s="44"/>
      <c r="I7" s="64" t="str">
        <f>IF(Cadastro!$C$12="","",Cadastro!$C$12)</f>
        <v/>
      </c>
      <c r="J7" s="44"/>
      <c r="K7" s="43" t="s">
        <v>56</v>
      </c>
      <c r="L7" s="44"/>
      <c r="M7" s="64" t="str">
        <f>IF(Cadastro!$C$13="","",Cadastro!$C$13)</f>
        <v/>
      </c>
      <c r="N7" s="44"/>
      <c r="O7" s="44"/>
      <c r="P7" s="44"/>
      <c r="Q7" s="43" t="s">
        <v>57</v>
      </c>
      <c r="R7" s="44"/>
      <c r="S7" s="44"/>
      <c r="T7" s="44"/>
      <c r="U7" s="44"/>
      <c r="V7" s="64" t="str">
        <f>IF(Cadastro!$C$14="","",Cadastro!$C$14)</f>
        <v>GERIATRIA</v>
      </c>
      <c r="W7" s="44"/>
      <c r="X7" s="45"/>
    </row>
    <row r="8" spans="1:24" ht="14.25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</row>
    <row r="9" spans="1:24" ht="15" customHeight="1" x14ac:dyDescent="0.3">
      <c r="A9" s="66" t="s">
        <v>58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5"/>
    </row>
    <row r="10" spans="1:24" ht="15" customHeight="1" x14ac:dyDescent="0.3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5"/>
    </row>
    <row r="11" spans="1:24" ht="15" customHeight="1" x14ac:dyDescent="0.3">
      <c r="A11" s="36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7"/>
    </row>
    <row r="12" spans="1:24" ht="15" customHeight="1" x14ac:dyDescent="0.3">
      <c r="A12" s="36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7"/>
    </row>
    <row r="13" spans="1:24" ht="15" customHeight="1" x14ac:dyDescent="0.3">
      <c r="A13" s="36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7"/>
    </row>
    <row r="14" spans="1:24" ht="15" customHeight="1" x14ac:dyDescent="0.3">
      <c r="A14" s="36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7"/>
    </row>
    <row r="15" spans="1:24" ht="15" customHeight="1" x14ac:dyDescent="0.3">
      <c r="A15" s="36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7"/>
    </row>
    <row r="16" spans="1:24" ht="15" customHeight="1" x14ac:dyDescent="0.3">
      <c r="A16" s="67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/>
    </row>
    <row r="17" spans="1:24" ht="14.25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ht="15" customHeight="1" x14ac:dyDescent="0.3">
      <c r="A18" s="66" t="s">
        <v>59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ht="15" customHeight="1" x14ac:dyDescent="0.3">
      <c r="A19" s="80" t="s">
        <v>205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5"/>
    </row>
    <row r="20" spans="1:24" ht="15" customHeight="1" x14ac:dyDescent="0.3">
      <c r="A20" s="36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7"/>
    </row>
    <row r="21" spans="1:24" ht="15" customHeight="1" x14ac:dyDescent="0.3">
      <c r="A21" s="36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7"/>
    </row>
    <row r="22" spans="1:24" ht="15" customHeight="1" x14ac:dyDescent="0.3">
      <c r="A22" s="36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7"/>
    </row>
    <row r="23" spans="1:24" ht="15" customHeight="1" x14ac:dyDescent="0.3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7"/>
    </row>
    <row r="24" spans="1:24" ht="15" customHeight="1" x14ac:dyDescent="0.3">
      <c r="A24" s="36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7"/>
    </row>
    <row r="25" spans="1:24" ht="15" customHeight="1" x14ac:dyDescent="0.3">
      <c r="A25" s="3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7"/>
    </row>
    <row r="26" spans="1:24" ht="15" customHeight="1" x14ac:dyDescent="0.3">
      <c r="A26" s="36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7"/>
    </row>
    <row r="27" spans="1:24" ht="15" customHeight="1" x14ac:dyDescent="0.3">
      <c r="A27" s="36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7"/>
    </row>
    <row r="28" spans="1:24" ht="15" customHeight="1" x14ac:dyDescent="0.3">
      <c r="A28" s="67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1"/>
    </row>
    <row r="29" spans="1:24" ht="14.25" customHeight="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</row>
    <row r="30" spans="1:24" ht="15" customHeight="1" x14ac:dyDescent="0.3">
      <c r="A30" s="66" t="s">
        <v>60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ht="15" customHeight="1" x14ac:dyDescent="0.3">
      <c r="A31" s="81" t="s">
        <v>206</v>
      </c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5"/>
    </row>
    <row r="32" spans="1:24" ht="15" customHeight="1" x14ac:dyDescent="0.3">
      <c r="A32" s="67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1"/>
    </row>
    <row r="33" spans="1:24" ht="14.25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ht="15" customHeight="1" x14ac:dyDescent="0.3">
      <c r="A34" s="66" t="s">
        <v>61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5"/>
    </row>
    <row r="35" spans="1:24" ht="15" customHeight="1" x14ac:dyDescent="0.3">
      <c r="A35" s="48" t="s">
        <v>169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5"/>
    </row>
    <row r="36" spans="1:24" ht="15" customHeight="1" x14ac:dyDescent="0.3">
      <c r="A36" s="67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1"/>
    </row>
    <row r="37" spans="1:24" ht="14.25" customHeight="1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ht="15" customHeight="1" x14ac:dyDescent="0.3">
      <c r="A38" s="66" t="s">
        <v>62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5"/>
    </row>
    <row r="39" spans="1:24" ht="15" customHeight="1" x14ac:dyDescent="0.3">
      <c r="A39" s="68" t="s">
        <v>63</v>
      </c>
      <c r="B39" s="44"/>
      <c r="C39" s="44"/>
      <c r="D39" s="44"/>
      <c r="E39" s="45"/>
      <c r="F39" s="7"/>
      <c r="G39" s="68" t="s">
        <v>64</v>
      </c>
      <c r="H39" s="44"/>
      <c r="I39" s="44"/>
      <c r="J39" s="44"/>
      <c r="K39" s="45"/>
      <c r="L39" s="7" t="s">
        <v>101</v>
      </c>
      <c r="M39" s="68" t="s">
        <v>66</v>
      </c>
      <c r="N39" s="44"/>
      <c r="O39" s="44"/>
      <c r="P39" s="44"/>
      <c r="Q39" s="45"/>
      <c r="R39" s="68" t="s">
        <v>67</v>
      </c>
      <c r="S39" s="44"/>
      <c r="T39" s="44"/>
      <c r="U39" s="44"/>
      <c r="V39" s="45"/>
      <c r="W39" s="71"/>
      <c r="X39" s="45"/>
    </row>
    <row r="40" spans="1:24" ht="14.2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ht="14.25" customHeight="1" x14ac:dyDescent="0.3">
      <c r="A41" s="43" t="s">
        <v>68</v>
      </c>
      <c r="B41" s="44"/>
      <c r="C41" s="44"/>
      <c r="D41" s="44"/>
      <c r="E41" s="64" t="str">
        <f>IF(Cadastro!$C$16="","",Cadastro!$C$16)</f>
        <v/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5"/>
    </row>
    <row r="42" spans="1:24" ht="15.75" customHeight="1" x14ac:dyDescent="0.3">
      <c r="A42" s="7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7"/>
    </row>
    <row r="43" spans="1:24" ht="15.75" customHeight="1" x14ac:dyDescent="0.3">
      <c r="A43" s="36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7"/>
    </row>
    <row r="44" spans="1:24" ht="14.25" customHeight="1" x14ac:dyDescent="0.3">
      <c r="A44" s="73" t="s">
        <v>69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74" t="s">
        <v>70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1"/>
    </row>
    <row r="45" spans="1:24" ht="15" customHeight="1" x14ac:dyDescent="0.3">
      <c r="A45" s="66" t="s">
        <v>71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5"/>
    </row>
    <row r="46" spans="1:24" ht="13.5" customHeight="1" x14ac:dyDescent="0.3">
      <c r="A46" s="69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5"/>
    </row>
    <row r="47" spans="1:24" ht="13.5" customHeight="1" x14ac:dyDescent="0.3">
      <c r="A47" s="36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7"/>
    </row>
    <row r="48" spans="1:24" ht="13.5" customHeight="1" x14ac:dyDescent="0.3">
      <c r="A48" s="67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1"/>
    </row>
    <row r="49" spans="1:24" ht="14.25" customHeight="1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25" customHeight="1" x14ac:dyDescent="0.3">
      <c r="A50" s="70" t="s">
        <v>25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ht="14.25" customHeight="1" x14ac:dyDescent="0.3">
      <c r="A51" s="70" t="s">
        <v>26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  <mergeCell ref="A30:X30"/>
    <mergeCell ref="A31:X32"/>
    <mergeCell ref="A34:X34"/>
    <mergeCell ref="A35:X36"/>
    <mergeCell ref="A38:X38"/>
    <mergeCell ref="A39:E39"/>
    <mergeCell ref="G39:K39"/>
    <mergeCell ref="M39:Q39"/>
    <mergeCell ref="R39:V39"/>
    <mergeCell ref="W39:X39"/>
    <mergeCell ref="A19:X28"/>
    <mergeCell ref="A7:C7"/>
    <mergeCell ref="D7:E7"/>
    <mergeCell ref="F7:H7"/>
    <mergeCell ref="I7:J7"/>
    <mergeCell ref="K7:L7"/>
    <mergeCell ref="M7:P7"/>
    <mergeCell ref="Q7:U7"/>
    <mergeCell ref="V7:X7"/>
    <mergeCell ref="A9:X9"/>
    <mergeCell ref="A10:X16"/>
    <mergeCell ref="A18:X18"/>
    <mergeCell ref="A6:C6"/>
    <mergeCell ref="D6:P6"/>
    <mergeCell ref="Q6:S6"/>
    <mergeCell ref="T6:X6"/>
    <mergeCell ref="G1:X3"/>
    <mergeCell ref="A5:C5"/>
    <mergeCell ref="D5:P5"/>
    <mergeCell ref="Q5:S5"/>
    <mergeCell ref="T5:X5"/>
  </mergeCells>
  <printOptions horizontalCentered="1"/>
  <pageMargins left="0.5" right="0.5" top="0.5" bottom="0.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34</vt:i4>
      </vt:variant>
      <vt:variant>
        <vt:lpstr>Intervalos Nomeados</vt:lpstr>
      </vt:variant>
      <vt:variant>
        <vt:i4>1</vt:i4>
      </vt:variant>
    </vt:vector>
  </HeadingPairs>
  <TitlesOfParts>
    <vt:vector size="35" baseType="lpstr">
      <vt:lpstr>Cadastro</vt:lpstr>
      <vt:lpstr>IMPRESSÃO</vt:lpstr>
      <vt:lpstr>RETORNO</vt:lpstr>
      <vt:lpstr>INDICAÇÃO LOCAIS PARA EXAMES</vt:lpstr>
      <vt:lpstr>Receituário Simples</vt:lpstr>
      <vt:lpstr>Exame Simples Branco</vt:lpstr>
      <vt:lpstr>Exames Laboratoriais Modelo</vt:lpstr>
      <vt:lpstr>Receituário Especial</vt:lpstr>
      <vt:lpstr>Exame Especial</vt:lpstr>
      <vt:lpstr>Vacina</vt:lpstr>
      <vt:lpstr>MAPA PA</vt:lpstr>
      <vt:lpstr>MAPA HGT</vt:lpstr>
      <vt:lpstr>COLONO</vt:lpstr>
      <vt:lpstr>EDA</vt:lpstr>
      <vt:lpstr>DMO</vt:lpstr>
      <vt:lpstr>MMG</vt:lpstr>
      <vt:lpstr>USG MAMA</vt:lpstr>
      <vt:lpstr>CCO</vt:lpstr>
      <vt:lpstr>DNA HPV</vt:lpstr>
      <vt:lpstr>TC TÓRAX - 1°</vt:lpstr>
      <vt:lpstr>TC TÓRAX BAIXA DOSE</vt:lpstr>
      <vt:lpstr>USG ABD ANEURISMA</vt:lpstr>
      <vt:lpstr>MAPA 24H</vt:lpstr>
      <vt:lpstr>HOLTER 24H</vt:lpstr>
      <vt:lpstr>ECOTT</vt:lpstr>
      <vt:lpstr>CINTILO</vt:lpstr>
      <vt:lpstr>POLISSONO</vt:lpstr>
      <vt:lpstr>RNM CRÂNIO</vt:lpstr>
      <vt:lpstr>USG RINS</vt:lpstr>
      <vt:lpstr>ESPIRO</vt:lpstr>
      <vt:lpstr>ECG</vt:lpstr>
      <vt:lpstr>BNP</vt:lpstr>
      <vt:lpstr>USG ARTERIAL MMII</vt:lpstr>
      <vt:lpstr>USG VENOSO MMII</vt:lpstr>
      <vt:lpstr>'Receituário Especial'!Area_de_impressao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Bruna Raposo Maia</cp:lastModifiedBy>
  <cp:lastPrinted>2026-07-02T22:13:04Z</cp:lastPrinted>
  <dcterms:created xsi:type="dcterms:W3CDTF">2026-07-02T10:58:21Z</dcterms:created>
  <dcterms:modified xsi:type="dcterms:W3CDTF">2026-07-02T22:16:53Z</dcterms:modified>
</cp:coreProperties>
</file>